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3.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drawings/drawing5.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drawings/drawing6.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XPC\Documents\Code\GitHub\AgendaSim\"/>
    </mc:Choice>
  </mc:AlternateContent>
  <xr:revisionPtr revIDLastSave="0" documentId="13_ncr:1_{FA492BDA-38F2-4784-899B-14C7194E0968}" xr6:coauthVersionLast="47" xr6:coauthVersionMax="47" xr10:uidLastSave="{00000000-0000-0000-0000-000000000000}"/>
  <bookViews>
    <workbookView xWindow="390" yWindow="390" windowWidth="21600" windowHeight="11385" firstSheet="2" activeTab="2" xr2:uid="{1077B0C9-4F73-4835-897C-ADD504DB6C09}"/>
  </bookViews>
  <sheets>
    <sheet name="Sheet2" sheetId="5" state="hidden" r:id="rId1"/>
    <sheet name="wCal" sheetId="4" state="hidden" r:id="rId2"/>
    <sheet name="Inicio" sheetId="1" r:id="rId3"/>
    <sheet name="wMaxFechas" sheetId="12" state="hidden" r:id="rId4"/>
    <sheet name="Capacidad" sheetId="10" r:id="rId5"/>
    <sheet name="horarioActual" sheetId="7" r:id="rId6"/>
    <sheet name="horarioCambio" sheetId="9" r:id="rId7"/>
    <sheet name="listas" sheetId="8" r:id="rId8"/>
    <sheet name="FechasMax" sheetId="11" r:id="rId9"/>
    <sheet name="ParametrosI" sheetId="2" r:id="rId10"/>
    <sheet name="PlantDoc" sheetId="14" state="hidden" r:id="rId11"/>
    <sheet name="wSettings" sheetId="3" state="hidden" r:id="rId12"/>
    <sheet name="Tooltips" sheetId="13" state="hidden" r:id="rId13"/>
  </sheets>
  <functionGroups builtInGroupCount="19"/>
  <definedNames>
    <definedName name="_xlnm._FilterDatabase" localSheetId="5" hidden="1">horarioActual!$A$10:$A$298</definedName>
    <definedName name="_xlnm._FilterDatabase" localSheetId="6" hidden="1">horarioCambio!$A$10:$A$298</definedName>
    <definedName name="cal_Annio">wCal!$L$1:$L$8</definedName>
    <definedName name="cal_mes">wCal!$J$1:$J$12</definedName>
    <definedName name="calendario">wCal!$A$5:$G$10</definedName>
    <definedName name="fCal">wCal!$A$2</definedName>
    <definedName name="lst_Doctores">OFFSET(listas!$A$10,1,0,COUNTA(listas!$A$11:$A$1098),1)</definedName>
    <definedName name="lst_DoctoresC">OFFSET(listas!$B$10,1,0,COUNTA(listas!$B$11:$B$1098),1)</definedName>
    <definedName name="lst_HorasA" localSheetId="6">horarioCambio!$A$11:$A$298</definedName>
    <definedName name="lst_HorasA">horarioActual!$A$11:$A$298</definedName>
    <definedName name="lst_HorasAF" localSheetId="6">OFFSET(horarioCambio!$A$1,MATCH(horarioCambio!sel_HIni,horarioCambio!$A:$A)-1,0,COUNTA(horarioCambio!$A:$A)+9)</definedName>
    <definedName name="lst_HorasAF">OFFSET(horarioActual!$A$1,MATCH(sel_HIni,horarioActual!$A:$A)-1,0,COUNTA(horarioActual!$A:$A)+9)</definedName>
    <definedName name="lst_settings">wSettings!$A$2:$D$15</definedName>
    <definedName name="lst_TipoCitas">listas!$D$11:$I$16</definedName>
    <definedName name="p_ArchHorariosAct">ParametrosI!$C$8</definedName>
    <definedName name="p_ArchHorariosMod">ParametrosI!$C$9</definedName>
    <definedName name="p_ArchMaxFechas">ParametrosI!$C$10</definedName>
    <definedName name="p_ArchParamProceso">ParametrosI!$C$5</definedName>
    <definedName name="p_DoctorAnt" localSheetId="6">horarioCambio!$I$2</definedName>
    <definedName name="p_DoctorAnt">horarioActual!$I$2</definedName>
    <definedName name="p_Edicion" localSheetId="6">horarioCambio!$I$1</definedName>
    <definedName name="p_Edicion">horarioActual!$I$1</definedName>
    <definedName name="p_FechaIniSim">FechasMax!$D$3</definedName>
    <definedName name="p_RutaAppR">ParametrosI!$C$6</definedName>
    <definedName name="p_rutaExceles">ParametrosI!$C$4</definedName>
    <definedName name="p_RutaProyR">ParametrosI!$C$7</definedName>
    <definedName name="sel_Doctor" localSheetId="6">horarioCambio!$D$7</definedName>
    <definedName name="sel_Doctor">horarioActual!$D$7</definedName>
    <definedName name="sel_HFin" localSheetId="6">horarioCambio!$D$6</definedName>
    <definedName name="sel_HFin">horarioActual!$D$6</definedName>
    <definedName name="sel_HIni" localSheetId="6">horarioCambio!$D$5</definedName>
    <definedName name="sel_HIni">horarioActual!$D$5</definedName>
    <definedName name="tt_Capacidad">Capacidad!$D$7</definedName>
    <definedName name="tt_FMax">FechasMax!$F$3</definedName>
    <definedName name="tt_HorAct">horarioActual!$F$3</definedName>
    <definedName name="tt_HorCam">horarioCambio!$F$3</definedName>
    <definedName name="ttHorCam">horarioCambio!$F$3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89" i="14" l="1"/>
  <c r="A288" i="14"/>
  <c r="A287" i="14"/>
  <c r="A286" i="14"/>
  <c r="A285" i="14"/>
  <c r="A284" i="14"/>
  <c r="A283" i="14"/>
  <c r="A282" i="14"/>
  <c r="A281" i="14"/>
  <c r="A280" i="14"/>
  <c r="A279" i="14"/>
  <c r="A278" i="14"/>
  <c r="A277" i="14"/>
  <c r="A276" i="14"/>
  <c r="A275" i="14"/>
  <c r="A274" i="14"/>
  <c r="A273" i="14"/>
  <c r="A272" i="14"/>
  <c r="A271" i="14"/>
  <c r="A270" i="14"/>
  <c r="A269" i="14"/>
  <c r="A268" i="14"/>
  <c r="A267" i="14"/>
  <c r="A266" i="14"/>
  <c r="A265" i="14"/>
  <c r="A264" i="14"/>
  <c r="A263" i="14"/>
  <c r="A262" i="14"/>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9" i="14"/>
  <c r="A8" i="14"/>
  <c r="A7" i="14"/>
  <c r="A6" i="14"/>
  <c r="A5" i="14"/>
  <c r="A4" i="14"/>
  <c r="A3" i="14"/>
  <c r="A2" i="14"/>
  <c r="H42" i="10"/>
  <c r="G42" i="10"/>
  <c r="F42" i="10"/>
  <c r="E42" i="10"/>
  <c r="D42" i="10"/>
  <c r="C42" i="10"/>
  <c r="D25" i="10"/>
  <c r="E25" i="10"/>
  <c r="F25" i="10"/>
  <c r="G25" i="10"/>
  <c r="H25" i="10"/>
  <c r="C25" i="10"/>
  <c r="D4" i="11"/>
  <c r="D3" i="9"/>
  <c r="D3" i="11"/>
  <c r="A298" i="9"/>
  <c r="A297" i="9"/>
  <c r="A296" i="9"/>
  <c r="A295" i="9"/>
  <c r="A294" i="9"/>
  <c r="A293" i="9"/>
  <c r="A292" i="9"/>
  <c r="A291" i="9"/>
  <c r="A290" i="9"/>
  <c r="A289" i="9"/>
  <c r="A288" i="9"/>
  <c r="A287" i="9"/>
  <c r="A286" i="9"/>
  <c r="A285" i="9"/>
  <c r="A284" i="9"/>
  <c r="A283" i="9"/>
  <c r="A282" i="9"/>
  <c r="A281" i="9"/>
  <c r="A280" i="9"/>
  <c r="A279" i="9"/>
  <c r="A278" i="9"/>
  <c r="A277" i="9"/>
  <c r="A276" i="9"/>
  <c r="A275" i="9"/>
  <c r="A274" i="9"/>
  <c r="A273" i="9"/>
  <c r="A272" i="9"/>
  <c r="A271" i="9"/>
  <c r="A270" i="9"/>
  <c r="A269" i="9"/>
  <c r="A268" i="9"/>
  <c r="A267" i="9"/>
  <c r="A266" i="9"/>
  <c r="A265" i="9"/>
  <c r="A264" i="9"/>
  <c r="A263" i="9"/>
  <c r="A262" i="9"/>
  <c r="A261" i="9"/>
  <c r="A260" i="9"/>
  <c r="A259" i="9"/>
  <c r="A258" i="9"/>
  <c r="A257" i="9"/>
  <c r="A256" i="9"/>
  <c r="A255" i="9"/>
  <c r="A254" i="9"/>
  <c r="A253" i="9"/>
  <c r="A252" i="9"/>
  <c r="A251" i="9"/>
  <c r="A250" i="9"/>
  <c r="A249" i="9"/>
  <c r="A248" i="9"/>
  <c r="A247" i="9"/>
  <c r="A246" i="9"/>
  <c r="A245" i="9"/>
  <c r="A244" i="9"/>
  <c r="A243" i="9"/>
  <c r="A242" i="9"/>
  <c r="A241" i="9"/>
  <c r="A240" i="9"/>
  <c r="A239" i="9"/>
  <c r="A238" i="9"/>
  <c r="A237" i="9"/>
  <c r="A236" i="9"/>
  <c r="A235" i="9"/>
  <c r="A234" i="9"/>
  <c r="A233" i="9"/>
  <c r="A232" i="9"/>
  <c r="A231" i="9"/>
  <c r="A230" i="9"/>
  <c r="A229" i="9"/>
  <c r="A228" i="9"/>
  <c r="A227" i="9"/>
  <c r="A226" i="9"/>
  <c r="A225" i="9"/>
  <c r="A224" i="9"/>
  <c r="A223" i="9"/>
  <c r="A222" i="9"/>
  <c r="A221" i="9"/>
  <c r="A220" i="9"/>
  <c r="A219" i="9"/>
  <c r="A218" i="9"/>
  <c r="A217" i="9"/>
  <c r="A216" i="9"/>
  <c r="A215" i="9"/>
  <c r="A214" i="9"/>
  <c r="A213" i="9"/>
  <c r="A212" i="9"/>
  <c r="A211" i="9"/>
  <c r="A210" i="9"/>
  <c r="A209" i="9"/>
  <c r="A208" i="9"/>
  <c r="A207" i="9"/>
  <c r="A206" i="9"/>
  <c r="A205" i="9"/>
  <c r="A204" i="9"/>
  <c r="A203" i="9"/>
  <c r="A202" i="9"/>
  <c r="A201" i="9"/>
  <c r="A200" i="9"/>
  <c r="A199" i="9"/>
  <c r="A198" i="9"/>
  <c r="A197" i="9"/>
  <c r="A196" i="9"/>
  <c r="A195" i="9"/>
  <c r="A194" i="9"/>
  <c r="A193" i="9"/>
  <c r="A192" i="9"/>
  <c r="A191" i="9"/>
  <c r="A190" i="9"/>
  <c r="A189" i="9"/>
  <c r="A188" i="9"/>
  <c r="A187" i="9"/>
  <c r="A186" i="9"/>
  <c r="A185" i="9"/>
  <c r="A184" i="9"/>
  <c r="A183" i="9"/>
  <c r="A182" i="9"/>
  <c r="A181" i="9"/>
  <c r="A180" i="9"/>
  <c r="A179" i="9"/>
  <c r="A178" i="9"/>
  <c r="A177" i="9"/>
  <c r="A176" i="9"/>
  <c r="A175" i="9"/>
  <c r="A174" i="9"/>
  <c r="A173" i="9"/>
  <c r="A172" i="9"/>
  <c r="A171" i="9"/>
  <c r="A170" i="9"/>
  <c r="A169" i="9"/>
  <c r="A168" i="9"/>
  <c r="A167" i="9"/>
  <c r="A166" i="9"/>
  <c r="A165" i="9"/>
  <c r="A164" i="9"/>
  <c r="A163" i="9"/>
  <c r="A162" i="9"/>
  <c r="A161" i="9"/>
  <c r="A160" i="9"/>
  <c r="A159" i="9"/>
  <c r="A158" i="9"/>
  <c r="A157" i="9"/>
  <c r="A156" i="9"/>
  <c r="A155" i="9"/>
  <c r="A154" i="9"/>
  <c r="A153" i="9"/>
  <c r="A152" i="9"/>
  <c r="A151" i="9"/>
  <c r="A150" i="9"/>
  <c r="A149" i="9"/>
  <c r="A148" i="9"/>
  <c r="A147" i="9"/>
  <c r="A146" i="9"/>
  <c r="A145" i="9"/>
  <c r="A144" i="9"/>
  <c r="A143" i="9"/>
  <c r="A142" i="9"/>
  <c r="A141" i="9"/>
  <c r="A140" i="9"/>
  <c r="A139" i="9"/>
  <c r="A138" i="9"/>
  <c r="A137" i="9"/>
  <c r="A136" i="9"/>
  <c r="A135" i="9"/>
  <c r="A134" i="9"/>
  <c r="A133" i="9"/>
  <c r="A132" i="9"/>
  <c r="A131" i="9"/>
  <c r="A130" i="9"/>
  <c r="A129" i="9"/>
  <c r="A128" i="9"/>
  <c r="A127" i="9"/>
  <c r="A126" i="9"/>
  <c r="A125" i="9"/>
  <c r="A124" i="9"/>
  <c r="A123" i="9"/>
  <c r="A122" i="9"/>
  <c r="A121" i="9"/>
  <c r="A120" i="9"/>
  <c r="A119" i="9"/>
  <c r="A118" i="9"/>
  <c r="A117" i="9"/>
  <c r="A116" i="9"/>
  <c r="A115" i="9"/>
  <c r="A114" i="9"/>
  <c r="A113" i="9"/>
  <c r="A112" i="9"/>
  <c r="A111" i="9"/>
  <c r="A110" i="9"/>
  <c r="A109" i="9"/>
  <c r="A108" i="9"/>
  <c r="A107" i="9"/>
  <c r="A106" i="9"/>
  <c r="A105" i="9"/>
  <c r="A104" i="9"/>
  <c r="A103" i="9"/>
  <c r="A102" i="9"/>
  <c r="A101" i="9"/>
  <c r="A100" i="9"/>
  <c r="A99" i="9"/>
  <c r="A98" i="9"/>
  <c r="A97" i="9"/>
  <c r="A96" i="9"/>
  <c r="A95" i="9"/>
  <c r="A94" i="9"/>
  <c r="A93" i="9"/>
  <c r="A92" i="9"/>
  <c r="A91" i="9"/>
  <c r="A90" i="9"/>
  <c r="A89" i="9"/>
  <c r="A88" i="9"/>
  <c r="A87" i="9"/>
  <c r="A86" i="9"/>
  <c r="A85" i="9"/>
  <c r="A84" i="9"/>
  <c r="A83" i="9"/>
  <c r="A82" i="9"/>
  <c r="A81" i="9"/>
  <c r="A80" i="9"/>
  <c r="A79" i="9"/>
  <c r="A78" i="9"/>
  <c r="A77" i="9"/>
  <c r="A76" i="9"/>
  <c r="A75" i="9"/>
  <c r="A74" i="9"/>
  <c r="A73" i="9"/>
  <c r="A72" i="9"/>
  <c r="A71" i="9"/>
  <c r="A70" i="9"/>
  <c r="A69" i="9"/>
  <c r="A68" i="9"/>
  <c r="A67" i="9"/>
  <c r="A66" i="9"/>
  <c r="A65" i="9"/>
  <c r="A64" i="9"/>
  <c r="A63" i="9"/>
  <c r="A62" i="9"/>
  <c r="A61" i="9"/>
  <c r="A60"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1" i="7"/>
  <c r="A12" i="7"/>
  <c r="A298" i="7"/>
  <c r="A297" i="7"/>
  <c r="A296" i="7"/>
  <c r="A295" i="7"/>
  <c r="A294" i="7"/>
  <c r="A293" i="7"/>
  <c r="A292" i="7"/>
  <c r="A291" i="7"/>
  <c r="A290" i="7"/>
  <c r="A289" i="7"/>
  <c r="A288" i="7"/>
  <c r="A287" i="7"/>
  <c r="A286" i="7"/>
  <c r="A285" i="7"/>
  <c r="A284" i="7"/>
  <c r="A283" i="7"/>
  <c r="A282" i="7"/>
  <c r="A281" i="7"/>
  <c r="A280" i="7"/>
  <c r="A279" i="7"/>
  <c r="A278" i="7"/>
  <c r="A277" i="7"/>
  <c r="A276" i="7"/>
  <c r="A275" i="7"/>
  <c r="A274" i="7"/>
  <c r="A273" i="7"/>
  <c r="A272" i="7"/>
  <c r="A271" i="7"/>
  <c r="A270" i="7"/>
  <c r="A269" i="7"/>
  <c r="A268" i="7"/>
  <c r="A267" i="7"/>
  <c r="A266" i="7"/>
  <c r="A265" i="7"/>
  <c r="A264" i="7"/>
  <c r="A263" i="7"/>
  <c r="A262" i="7"/>
  <c r="A261" i="7"/>
  <c r="A260" i="7"/>
  <c r="A259" i="7"/>
  <c r="A258" i="7"/>
  <c r="A257" i="7"/>
  <c r="A256" i="7"/>
  <c r="A255" i="7"/>
  <c r="A254" i="7"/>
  <c r="A253" i="7"/>
  <c r="A252" i="7"/>
  <c r="A251" i="7"/>
  <c r="A250" i="7"/>
  <c r="A249" i="7"/>
  <c r="A248" i="7"/>
  <c r="A247" i="7"/>
  <c r="A246" i="7"/>
  <c r="A245" i="7"/>
  <c r="A244" i="7"/>
  <c r="A243" i="7"/>
  <c r="A242" i="7"/>
  <c r="A241" i="7"/>
  <c r="A240" i="7"/>
  <c r="A239" i="7"/>
  <c r="A238" i="7"/>
  <c r="A237" i="7"/>
  <c r="A236" i="7"/>
  <c r="A235" i="7"/>
  <c r="A234" i="7"/>
  <c r="A233" i="7"/>
  <c r="A232" i="7"/>
  <c r="A231" i="7"/>
  <c r="A230" i="7"/>
  <c r="A229" i="7"/>
  <c r="A228" i="7"/>
  <c r="A227" i="7"/>
  <c r="A226" i="7"/>
  <c r="A225" i="7"/>
  <c r="A224" i="7"/>
  <c r="A223" i="7"/>
  <c r="A222" i="7"/>
  <c r="A221" i="7"/>
  <c r="A220" i="7"/>
  <c r="A219" i="7"/>
  <c r="A218" i="7"/>
  <c r="A217" i="7"/>
  <c r="A216" i="7"/>
  <c r="A215" i="7"/>
  <c r="A214" i="7"/>
  <c r="A213" i="7"/>
  <c r="A212" i="7"/>
  <c r="A211" i="7"/>
  <c r="A210" i="7"/>
  <c r="A209" i="7"/>
  <c r="A208" i="7"/>
  <c r="A207" i="7"/>
  <c r="A206" i="7"/>
  <c r="A205" i="7"/>
  <c r="A204" i="7"/>
  <c r="A203" i="7"/>
  <c r="A202" i="7"/>
  <c r="A201" i="7"/>
  <c r="A200" i="7"/>
  <c r="A199" i="7"/>
  <c r="A198" i="7"/>
  <c r="A197" i="7"/>
  <c r="A196" i="7"/>
  <c r="A195" i="7"/>
  <c r="A194" i="7"/>
  <c r="A193" i="7"/>
  <c r="A192" i="7"/>
  <c r="A191" i="7"/>
  <c r="A190" i="7"/>
  <c r="A189" i="7"/>
  <c r="A188" i="7"/>
  <c r="A187" i="7"/>
  <c r="A186" i="7"/>
  <c r="A185" i="7"/>
  <c r="A184" i="7"/>
  <c r="A183" i="7"/>
  <c r="A182" i="7"/>
  <c r="A181" i="7"/>
  <c r="A180" i="7"/>
  <c r="A179" i="7"/>
  <c r="A178" i="7"/>
  <c r="A177" i="7"/>
  <c r="A176" i="7"/>
  <c r="A175" i="7"/>
  <c r="A174" i="7"/>
  <c r="A173" i="7"/>
  <c r="A172" i="7"/>
  <c r="A171" i="7"/>
  <c r="A170" i="7"/>
  <c r="A169" i="7"/>
  <c r="A168" i="7"/>
  <c r="A167" i="7"/>
  <c r="A166" i="7"/>
  <c r="A165" i="7"/>
  <c r="A164" i="7"/>
  <c r="A163" i="7"/>
  <c r="A162" i="7"/>
  <c r="A161" i="7"/>
  <c r="A160" i="7"/>
  <c r="A159" i="7"/>
  <c r="A158" i="7"/>
  <c r="A157" i="7"/>
  <c r="A156" i="7"/>
  <c r="A155" i="7"/>
  <c r="A154" i="7"/>
  <c r="A153" i="7"/>
  <c r="A152" i="7"/>
  <c r="A151" i="7"/>
  <c r="A150" i="7"/>
  <c r="A149" i="7"/>
  <c r="A148" i="7"/>
  <c r="A147" i="7"/>
  <c r="A146" i="7"/>
  <c r="A145" i="7"/>
  <c r="A144" i="7"/>
  <c r="A143" i="7"/>
  <c r="A142" i="7"/>
  <c r="A141" i="7"/>
  <c r="A140" i="7"/>
  <c r="A139" i="7"/>
  <c r="A138" i="7"/>
  <c r="A137" i="7"/>
  <c r="A136" i="7"/>
  <c r="A135" i="7"/>
  <c r="A134" i="7"/>
  <c r="A133" i="7"/>
  <c r="A132" i="7"/>
  <c r="A131" i="7"/>
  <c r="A130" i="7"/>
  <c r="A129" i="7"/>
  <c r="A128" i="7"/>
  <c r="A127" i="7"/>
  <c r="A126" i="7"/>
  <c r="A125" i="7"/>
  <c r="A124" i="7"/>
  <c r="A123" i="7"/>
  <c r="A122" i="7"/>
  <c r="A121" i="7"/>
  <c r="A120" i="7"/>
  <c r="A119" i="7"/>
  <c r="A118" i="7"/>
  <c r="A117" i="7"/>
  <c r="A116" i="7"/>
  <c r="A115" i="7"/>
  <c r="A114"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L1" i="4"/>
  <c r="L2" i="4" s="1"/>
  <c r="L3" i="4" s="1"/>
  <c r="L4" i="4" s="1"/>
  <c r="L5" i="4" s="1"/>
  <c r="L6" i="4" s="1"/>
  <c r="L7" i="4" s="1"/>
  <c r="L8" i="4" s="1"/>
</calcChain>
</file>

<file path=xl/sharedStrings.xml><?xml version="1.0" encoding="utf-8"?>
<sst xmlns="http://schemas.openxmlformats.org/spreadsheetml/2006/main" count="1279" uniqueCount="209">
  <si>
    <t>Setting</t>
  </si>
  <si>
    <t>Valor</t>
  </si>
  <si>
    <t>Descripción</t>
  </si>
  <si>
    <t>inicio_vacio</t>
  </si>
  <si>
    <t>cambio_de_horario</t>
  </si>
  <si>
    <t>s_ausentismo_por_hora</t>
  </si>
  <si>
    <t>s_ausentismo_por_tipo_cita</t>
  </si>
  <si>
    <t>guardar</t>
  </si>
  <si>
    <t>nombre_archivo_guardado</t>
  </si>
  <si>
    <t>tasa_llegadas_base</t>
  </si>
  <si>
    <t>Representa la cantidad de personas que entran semanalmente al sistema. Es importante aclarar que no se distribuyen aleatoriamente dentro de la simulación si no que ingresan a un ritmo constante.</t>
  </si>
  <si>
    <t>fecha_inicio_simulacion</t>
  </si>
  <si>
    <t>Es la fecha en la que inicia la simulación. Esta siempre debe ser un lunes.</t>
  </si>
  <si>
    <t>fecha_cambio_horario</t>
  </si>
  <si>
    <t>fecha_final_simulacion</t>
  </si>
  <si>
    <t>fecha_final_agenda</t>
  </si>
  <si>
    <t>p_abandono_aus</t>
  </si>
  <si>
    <t>Se refiere a la probabilidad de que se de un abandono dado que se dió un ausentismo.</t>
  </si>
  <si>
    <t>p_reproceso_control</t>
  </si>
  <si>
    <t>tipoCtrl</t>
  </si>
  <si>
    <t>chk_inicio_vacio</t>
  </si>
  <si>
    <t>chk_cambio_de_horario</t>
  </si>
  <si>
    <t>chk_s_ausentismo_por_hora</t>
  </si>
  <si>
    <t>chk_s_ausentismo_por_tipo_cita</t>
  </si>
  <si>
    <t>chk_guardar</t>
  </si>
  <si>
    <t>txt_nombre_archivo_guardado</t>
  </si>
  <si>
    <t>txt_tasa_llegadas_base</t>
  </si>
  <si>
    <t>txt_fecha_inicio_simulacion</t>
  </si>
  <si>
    <t>txt_fecha_cambio_horario</t>
  </si>
  <si>
    <t>txt_fecha_final_simulacion</t>
  </si>
  <si>
    <t>txt_fecha_final_agenda</t>
  </si>
  <si>
    <t>txt_p_abandono_aus</t>
  </si>
  <si>
    <t>txt_p_reproceso_control</t>
  </si>
  <si>
    <t>ENERO</t>
  </si>
  <si>
    <t>FEBRERO</t>
  </si>
  <si>
    <t>MARZO</t>
  </si>
  <si>
    <t>D</t>
  </si>
  <si>
    <t>L</t>
  </si>
  <si>
    <t>K</t>
  </si>
  <si>
    <t>M</t>
  </si>
  <si>
    <t>J</t>
  </si>
  <si>
    <t>V</t>
  </si>
  <si>
    <t>S</t>
  </si>
  <si>
    <t>ABRIL</t>
  </si>
  <si>
    <t>MAYO</t>
  </si>
  <si>
    <t>JUNIO</t>
  </si>
  <si>
    <t>JULIO</t>
  </si>
  <si>
    <t>AGOSTO</t>
  </si>
  <si>
    <t>SEPTIEMBRE</t>
  </si>
  <si>
    <t>OCTUBRE</t>
  </si>
  <si>
    <t>NOVIEMBRE</t>
  </si>
  <si>
    <t>DICIEMBRE</t>
  </si>
  <si>
    <t>Control Selector de Fecha</t>
  </si>
  <si>
    <t>Versión 1.2</t>
  </si>
  <si>
    <t>Version</t>
  </si>
  <si>
    <t>fecha</t>
  </si>
  <si>
    <t>Responsable</t>
  </si>
  <si>
    <t>Observaciones</t>
  </si>
  <si>
    <t>RAM</t>
  </si>
  <si>
    <t>Se agrega botón de HOY</t>
  </si>
  <si>
    <t>Corrige error que cuando se selecciona el mes siguiente no pasa</t>
  </si>
  <si>
    <t>Ruta Archivos Excel</t>
  </si>
  <si>
    <t>Descripcion_Proceso.xlsx</t>
  </si>
  <si>
    <t>Archivo Paramétros Proceso</t>
  </si>
  <si>
    <t>Ruta Aplicación R</t>
  </si>
  <si>
    <t>Ruta Proyecto R</t>
  </si>
  <si>
    <t>C:\Program Files\R\R-4.3.1\bin\x64\rscript</t>
  </si>
  <si>
    <t>Hora</t>
  </si>
  <si>
    <t>Lunes</t>
  </si>
  <si>
    <t>Martes</t>
  </si>
  <si>
    <t>Jueves</t>
  </si>
  <si>
    <t>Viernes</t>
  </si>
  <si>
    <t>doctores</t>
  </si>
  <si>
    <t>Doc1</t>
  </si>
  <si>
    <t>Doc2</t>
  </si>
  <si>
    <t>Doc3</t>
  </si>
  <si>
    <t>Doc4</t>
  </si>
  <si>
    <t>Doc5</t>
  </si>
  <si>
    <t>Doc6</t>
  </si>
  <si>
    <t>tipos_citas</t>
  </si>
  <si>
    <t>orden_citas</t>
  </si>
  <si>
    <t>tiempos_procedimientos</t>
  </si>
  <si>
    <t>probabilidad_ausentismo</t>
  </si>
  <si>
    <t>tiempo_minimo_entre_citas</t>
  </si>
  <si>
    <t>Cupo Nuevo</t>
  </si>
  <si>
    <t>Rodetes</t>
  </si>
  <si>
    <t>Prueba Estetica</t>
  </si>
  <si>
    <t>Prostod No Especializada</t>
  </si>
  <si>
    <t>Control</t>
  </si>
  <si>
    <t>#E2EFDA</t>
  </si>
  <si>
    <t>#DDEBF7</t>
  </si>
  <si>
    <t>#FFF2CC</t>
  </si>
  <si>
    <t>#FCE4D6</t>
  </si>
  <si>
    <t>#D6DCE4</t>
  </si>
  <si>
    <t>#D0CECE</t>
  </si>
  <si>
    <t>Miércoles</t>
  </si>
  <si>
    <t>Sábado</t>
  </si>
  <si>
    <t>Domigo</t>
  </si>
  <si>
    <t>Archivo Horario Actual</t>
  </si>
  <si>
    <t>Horarios_Actuales.xlsx</t>
  </si>
  <si>
    <t>Archivo Horario Modificado</t>
  </si>
  <si>
    <t>Horarios_Nuevos.xlsx</t>
  </si>
  <si>
    <t>Impresion</t>
  </si>
  <si>
    <t>Hora Inicio:</t>
  </si>
  <si>
    <t>Hora Final:</t>
  </si>
  <si>
    <t>Doctor:</t>
  </si>
  <si>
    <t>Fecha de Cambio</t>
  </si>
  <si>
    <t>Doc7</t>
  </si>
  <si>
    <t>Doc8</t>
  </si>
  <si>
    <t>Horario actual</t>
  </si>
  <si>
    <t>Tipo de Cita</t>
  </si>
  <si>
    <t>Cambio de Horario</t>
  </si>
  <si>
    <t>Doctor</t>
  </si>
  <si>
    <t>F. Inicio Sim.:</t>
  </si>
  <si>
    <t>doc1</t>
  </si>
  <si>
    <t>id_doc</t>
  </si>
  <si>
    <t>campo_cita</t>
  </si>
  <si>
    <t>fecha_final</t>
  </si>
  <si>
    <t>doc2</t>
  </si>
  <si>
    <t>doc3</t>
  </si>
  <si>
    <t>doc4</t>
  </si>
  <si>
    <t>doc5</t>
  </si>
  <si>
    <t>doc6</t>
  </si>
  <si>
    <t>Fecha final</t>
  </si>
  <si>
    <t>Archivo Fechas Máximas</t>
  </si>
  <si>
    <t>MaxFechas.xlsx</t>
  </si>
  <si>
    <t>ToolTips en Cajas</t>
  </si>
  <si>
    <t>Hoja</t>
  </si>
  <si>
    <t>Imagen</t>
  </si>
  <si>
    <t>Inicio</t>
  </si>
  <si>
    <t>sh_param</t>
  </si>
  <si>
    <t>sh_hor_actual</t>
  </si>
  <si>
    <t>sh_hor_nuevos</t>
  </si>
  <si>
    <t>sh_Fmax</t>
  </si>
  <si>
    <t>sh_Capacidad</t>
  </si>
  <si>
    <t>sh_Ejec</t>
  </si>
  <si>
    <t>sh_Result</t>
  </si>
  <si>
    <t>sh_Rutas_Interfaz</t>
  </si>
  <si>
    <r>
      <rPr>
        <b/>
        <sz val="11"/>
        <color theme="1"/>
        <rFont val="Calibri"/>
        <family val="2"/>
        <scheme val="minor"/>
      </rPr>
      <t xml:space="preserve">Parametrización de la Simulación
</t>
    </r>
    <r>
      <rPr>
        <sz val="11"/>
        <color theme="1"/>
        <rFont val="Calibri"/>
        <family val="2"/>
        <scheme val="minor"/>
      </rPr>
      <t xml:space="preserve">
Permite modificar los parámetros de la simulación, como la fecha de inicio y de final, así como tasa de entrada y ausentismos.</t>
    </r>
  </si>
  <si>
    <t>Configuración de Horarios
Permite modificar los horarios actuales de los doctores.</t>
  </si>
  <si>
    <t>Configuración de Cambio de Horarios
Permite modificar los horarios de los doctores que se utilizan posterior a un cambio de horario, en caso de que esta configuración se encuentre activa en la Parametrización de la Simulación</t>
  </si>
  <si>
    <t>Fechas Máximas
Permite modificar las fechas utilizadas para llenar las colas del sistema de manera tal que este se encuentre igual al sistema real, al iniciar la simulación</t>
  </si>
  <si>
    <t>Capacidad Configurada
Mostar la capacidad configurada en los horarios que se encuentran guardados actualmente</t>
  </si>
  <si>
    <t>Ejecución de la Simulación
Ejecutar la simulación dados los parámtros ingresados previamente</t>
  </si>
  <si>
    <t>Configuración de la Interfaz
Permite la modificación de rutas y directorios para el correcto funcionamiento de la interfaz.</t>
  </si>
  <si>
    <t>p_rechazo_cuponuevo</t>
  </si>
  <si>
    <t>txt_p_rechazo</t>
  </si>
  <si>
    <t>Capacidad</t>
  </si>
  <si>
    <t>tt_Capacidad</t>
  </si>
  <si>
    <t>sh_cap_refresh</t>
  </si>
  <si>
    <t>sh_cap_thrash</t>
  </si>
  <si>
    <t>La capacidad configurada es la cantidad de cupos semanales asignados para cada tipo de cita y cada doctor. 
Nota: Estas capacidades se cambian por medio de la modificación de los horarios.</t>
  </si>
  <si>
    <t>Actualiza las capacidades mostradas en la hoja.</t>
  </si>
  <si>
    <t>Limpia la hoja.</t>
  </si>
  <si>
    <t>horarioActual</t>
  </si>
  <si>
    <t>LHorAct1</t>
  </si>
  <si>
    <t>LHorAct2</t>
  </si>
  <si>
    <t>LHorAct3</t>
  </si>
  <si>
    <t>LHorAct4</t>
  </si>
  <si>
    <t>LHorAct5</t>
  </si>
  <si>
    <t>LHorAct6</t>
  </si>
  <si>
    <t>Permite seleccionar un tipo de cita para pintar el horario utilizando el lapiz.</t>
  </si>
  <si>
    <t>Luego de seleccionar hora de inicio, hora final y doctor del horario que se desea ver, este botón aplica dicho filtro.</t>
  </si>
  <si>
    <t>Al presionar el lapiz, luego se puede seleccionar en el horario las posiciones en donde se pueden colocar los grupos de citas.</t>
  </si>
  <si>
    <t>Refresca el horario, trayendo lo que se encuentra guardado en este momento. Cualquier cambio realizado no guardado se perderá.</t>
  </si>
  <si>
    <t>Guarda el horario que se muestra en este instante</t>
  </si>
  <si>
    <t>Limpia la hoja y crea un estado en blanco.</t>
  </si>
  <si>
    <t>horarioActual_Backlabel</t>
  </si>
  <si>
    <t>En esta hoja es posible modificar los horarios utilizados por los doctores desde el principio de la simulación. Colocarse sobre las herramientas explica su uso.</t>
  </si>
  <si>
    <t>horarioCambio</t>
  </si>
  <si>
    <t>horarioCambio_Backlabel</t>
  </si>
  <si>
    <t>En esta hoja es posible modificar los horarios utilizados por los doctores después del cambio de horario configurado.</t>
  </si>
  <si>
    <t>FechasMax</t>
  </si>
  <si>
    <t>LFechaMax1</t>
  </si>
  <si>
    <t>LFechaMax2</t>
  </si>
  <si>
    <t>LFechaMax3</t>
  </si>
  <si>
    <t>LFechaMax4</t>
  </si>
  <si>
    <t>FechaMax_Backlabel</t>
  </si>
  <si>
    <t>Guarda las fechas máximas establecidas</t>
  </si>
  <si>
    <t>Configuración:</t>
  </si>
  <si>
    <t>Refresca la tabla, volviendo a mostrar las fechas máximas que se encuentran guardadas.</t>
  </si>
  <si>
    <t xml:space="preserve">Colocarse sobre una celda y presionar el calendario facilita la inserción de fechas </t>
  </si>
  <si>
    <t>Limpia la tabla y crea un estado en blanco</t>
  </si>
  <si>
    <t>Si la configuración de inicio vacío se encuentra en False, estas son las fechas utilizadas para rellenar el sistema antes del inicio de la simulación.</t>
  </si>
  <si>
    <t>sh_Backlabel</t>
  </si>
  <si>
    <t>Bienvenido a la Interfaz de la Simulación.
Coloque el puntero sobre alguna de las opciones para recibir información sobre su utilización.</t>
  </si>
  <si>
    <t>Es la fecha en la que termina la simulacion. Siempre debe configurarse como un Domingo.</t>
  </si>
  <si>
    <t>Dada la naturaleza del sistema muchos pacientes al final de la simulación van a requerir citas en un tiempo posterior a la simulación. Para lograr registrar esto, la agenda global se extiende hasta dicha fecha. Si alguna fecha de espera se llega a extender posterior a esto entonces no queda registrada en la agenda y por ende no se muestra en las métricas del presente reporte. Debe escogerse un domingo de igual manera.</t>
  </si>
  <si>
    <t>Es la fecha en la que se da el cambio de horario, del horario actual al horario nuevo. En caso de que no haya cambio de horario entonces el campo se puede mantener vacío.</t>
  </si>
  <si>
    <t>En caso de escogerse esta opción entonces el ausentismo es basado en los porcentajes conocidos de ausentismo por tipo de cita.  Si por el contrario, no se escoge esta opción entonces la simulación no presenta ni ausentismos ni abandonos.</t>
  </si>
  <si>
    <t>Es el nombre con el que se va a guardar los archivos resultantes de la simulación.</t>
  </si>
  <si>
    <r>
      <t>Configuración que permite guardar el archivo en la carpeta de Output bajo el nombre de </t>
    </r>
    <r>
      <rPr>
        <b/>
        <sz val="12"/>
        <color rgb="FF504F4F"/>
        <rFont val="Times New Roman"/>
        <family val="1"/>
      </rPr>
      <t>nombre_archivo_guardado</t>
    </r>
    <r>
      <rPr>
        <sz val="12"/>
        <color rgb="FF504F4F"/>
        <rFont val="Times New Roman"/>
        <family val="1"/>
      </rPr>
      <t>.</t>
    </r>
  </si>
  <si>
    <t>Si se conoce la probabilidad de que se de un ausentismo según la hora del día y el día de la semana entonces esto se puede configurar en el archivo de Input llamado “Matriz_Ausentismos.xlsx”. Al escoger esta configuración entonces la distribución de ausentismos sigue dicho comportamiento.</t>
  </si>
  <si>
    <t>Entre 0 y 1. Es la probabilidad de que en la cita de Cupo Nuevo se de un rechazo y por ende el paciente no continue en el proceso.</t>
  </si>
  <si>
    <t>Entre 0 y 1. Es la probabilidad de que en en la cita de control se termine realizando un reproceso, y el paciente requiera más de una cita.</t>
  </si>
  <si>
    <t>Se refiere a si en la simulación el sistema inicia sin pacientes en cola o si bien, las colas empiezan llenas de acuerdo al estado actual del sistema. Se utilizan las fechas presentes en la hoja "FechasMax" para que la simulación empiece con las colas del proceso llenas hasta estas fechas. También es importante aclarar que el inicio de la simulación debe darse en la misma fecha en la que se realizó esta medición.</t>
  </si>
  <si>
    <t>Esta configuración permite establecer que a partir de una fecha (**fecha_cambio_horario**), el sistema deje de utilizar los horarios actuales y empiece a utilizar una configuración con horarios nuevos. Esto permite simular como un cambio en la configuración actual puede llegar a afectar el sistema luego de algún tiempo dado.</t>
  </si>
  <si>
    <t>Manual de instalación y utilización
Explica cómo se instala la simulación, cómo funciona y cómo se utiliza.</t>
  </si>
  <si>
    <t>HMS</t>
  </si>
  <si>
    <t>Miercoles</t>
  </si>
  <si>
    <t>Sabado</t>
  </si>
  <si>
    <t>Domingo</t>
  </si>
  <si>
    <t>doctoresCambio</t>
  </si>
  <si>
    <t>C:\Users\XPC\Documents\Code\GitHub\AgendaSim\Input</t>
  </si>
  <si>
    <t>C:\Users\XPC\Documents\Code\GitHub\AgendaSim\ScriptsR\AgSim.R</t>
  </si>
  <si>
    <t>EJEMPLO PPT</t>
  </si>
  <si>
    <t>2023-01-02</t>
  </si>
  <si>
    <t>2023-12-31</t>
  </si>
  <si>
    <t>2025-12-28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</si>
</sst>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yyyy\-mm\-dd"/>
  </numFmts>
  <fonts count="11" x14ac:knownFonts="1">
    <font>
      <sz val="11"/>
      <color theme="1"/>
      <name val="Calibri"/>
      <family val="2"/>
      <scheme val="minor"/>
    </font>
    <font>
      <b/>
      <sz val="11"/>
      <color theme="1"/>
      <name val="Calibri"/>
      <family val="2"/>
      <scheme val="minor"/>
    </font>
    <font>
      <sz val="12"/>
      <color rgb="FF504F4F"/>
      <name val="Times New Roman"/>
      <family val="1"/>
    </font>
    <font>
      <b/>
      <sz val="12"/>
      <color rgb="FF504F4F"/>
      <name val="Times New Roman"/>
      <family val="1"/>
    </font>
    <font>
      <sz val="11"/>
      <color rgb="FF000000"/>
      <name val="Calibri"/>
      <family val="2"/>
    </font>
    <font>
      <sz val="8"/>
      <name val="Calibri"/>
      <family val="2"/>
      <scheme val="minor"/>
    </font>
    <font>
      <b/>
      <sz val="11"/>
      <color rgb="FFEAEAEA"/>
      <name val="Calibri"/>
      <family val="2"/>
      <scheme val="minor"/>
    </font>
    <font>
      <b/>
      <sz val="14"/>
      <color theme="1"/>
      <name val="Calibri"/>
      <family val="2"/>
      <scheme val="minor"/>
    </font>
    <font>
      <b/>
      <sz val="16"/>
      <color theme="1"/>
      <name val="Calibri"/>
      <family val="2"/>
      <scheme val="minor"/>
    </font>
    <font>
      <sz val="20"/>
      <color theme="1"/>
      <name val="Calibri"/>
      <family val="2"/>
      <scheme val="minor"/>
    </font>
    <font>
      <sz val="11"/>
      <name val="Calibri"/>
      <family val="2"/>
      <scheme val="minor"/>
    </font>
  </fonts>
  <fills count="23">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rgb="FF3399FF"/>
        <bgColor indexed="64"/>
      </patternFill>
    </fill>
    <fill>
      <patternFill patternType="solid">
        <fgColor theme="6" tint="0.79998168889431442"/>
        <bgColor indexed="64"/>
      </patternFill>
    </fill>
    <fill>
      <patternFill patternType="solid">
        <fgColor rgb="FFEAEAEA"/>
        <bgColor indexed="64"/>
      </patternFill>
    </fill>
    <fill>
      <patternFill patternType="solid">
        <fgColor rgb="FF336699"/>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CCFF"/>
        <bgColor indexed="64"/>
      </patternFill>
    </fill>
    <fill>
      <patternFill patternType="solid">
        <fgColor rgb="FFDDEBF7"/>
        <bgColor indexed="64"/>
      </patternFill>
    </fill>
    <fill>
      <patternFill patternType="solid">
        <fgColor rgb="FFFFF2CC"/>
        <bgColor indexed="64"/>
      </patternFill>
    </fill>
    <fill>
      <patternFill patternType="solid">
        <fgColor rgb="FFD6DCE4"/>
        <bgColor indexed="64"/>
      </patternFill>
    </fill>
    <fill>
      <patternFill patternType="solid">
        <fgColor rgb="FFD0CECE"/>
        <bgColor indexed="64"/>
      </patternFill>
    </fill>
    <fill>
      <patternFill patternType="solid">
        <fgColor rgb="FFFCE4D6"/>
        <bgColor indexed="64"/>
      </patternFill>
    </fill>
    <fill>
      <patternFill patternType="solid">
        <fgColor rgb="FFE2EFDA"/>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right/>
      <top style="dotted">
        <color auto="1"/>
      </top>
      <bottom style="dotted">
        <color auto="1"/>
      </bottom>
      <diagonal/>
    </border>
    <border>
      <left/>
      <right/>
      <top/>
      <bottom style="hair">
        <color auto="1"/>
      </bottom>
      <diagonal/>
    </border>
    <border>
      <left style="thin">
        <color indexed="64"/>
      </left>
      <right style="thin">
        <color indexed="64"/>
      </right>
      <top/>
      <bottom style="hair">
        <color auto="1"/>
      </bottom>
      <diagonal/>
    </border>
    <border>
      <left/>
      <right/>
      <top style="hair">
        <color auto="1"/>
      </top>
      <bottom style="hair">
        <color auto="1"/>
      </bottom>
      <diagonal/>
    </border>
    <border>
      <left style="thin">
        <color indexed="64"/>
      </left>
      <right style="thin">
        <color indexed="64"/>
      </right>
      <top style="hair">
        <color auto="1"/>
      </top>
      <bottom style="hair">
        <color auto="1"/>
      </bottom>
      <diagonal/>
    </border>
    <border>
      <left style="thin">
        <color indexed="64"/>
      </left>
      <right/>
      <top style="hair">
        <color auto="1"/>
      </top>
      <bottom style="hair">
        <color auto="1"/>
      </bottom>
      <diagonal/>
    </border>
    <border>
      <left/>
      <right style="hair">
        <color indexed="64"/>
      </right>
      <top style="hair">
        <color auto="1"/>
      </top>
      <bottom style="hair">
        <color auto="1"/>
      </bottom>
      <diagonal/>
    </border>
    <border>
      <left style="hair">
        <color indexed="64"/>
      </left>
      <right style="hair">
        <color indexed="64"/>
      </right>
      <top style="hair">
        <color auto="1"/>
      </top>
      <bottom style="hair">
        <color auto="1"/>
      </bottom>
      <diagonal/>
    </border>
    <border>
      <left style="hair">
        <color indexed="64"/>
      </left>
      <right/>
      <top style="hair">
        <color auto="1"/>
      </top>
      <bottom style="hair">
        <color auto="1"/>
      </bottom>
      <diagonal/>
    </border>
    <border>
      <left style="thin">
        <color indexed="64"/>
      </left>
      <right style="hair">
        <color indexed="64"/>
      </right>
      <top style="hair">
        <color auto="1"/>
      </top>
      <bottom style="hair">
        <color auto="1"/>
      </bottom>
      <diagonal/>
    </border>
    <border>
      <left style="thin">
        <color indexed="64"/>
      </left>
      <right style="thin">
        <color indexed="64"/>
      </right>
      <top style="thin">
        <color indexed="64"/>
      </top>
      <bottom/>
      <diagonal/>
    </border>
    <border>
      <left/>
      <right/>
      <top/>
      <bottom style="dotted">
        <color auto="1"/>
      </bottom>
      <diagonal/>
    </border>
    <border>
      <left/>
      <right style="thin">
        <color indexed="64"/>
      </right>
      <top/>
      <bottom style="thin">
        <color indexed="64"/>
      </bottom>
      <diagonal/>
    </border>
    <border>
      <left style="thin">
        <color indexed="64"/>
      </left>
      <right/>
      <top style="thin">
        <color auto="1"/>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hair">
        <color indexed="64"/>
      </right>
      <top style="hair">
        <color auto="1"/>
      </top>
      <bottom/>
      <diagonal/>
    </border>
    <border>
      <left/>
      <right style="hair">
        <color indexed="64"/>
      </right>
      <top/>
      <bottom style="hair">
        <color auto="1"/>
      </bottom>
      <diagonal/>
    </border>
    <border>
      <left style="thin">
        <color indexed="64"/>
      </left>
      <right style="hair">
        <color indexed="64"/>
      </right>
      <top style="thin">
        <color auto="1"/>
      </top>
      <bottom style="hair">
        <color auto="1"/>
      </bottom>
      <diagonal/>
    </border>
    <border>
      <left/>
      <right style="hair">
        <color indexed="64"/>
      </right>
      <top style="hair">
        <color auto="1"/>
      </top>
      <bottom style="thin">
        <color auto="1"/>
      </bottom>
      <diagonal/>
    </border>
    <border>
      <left/>
      <right style="hair">
        <color indexed="64"/>
      </right>
      <top style="hair">
        <color auto="1"/>
      </top>
      <bottom/>
      <diagonal/>
    </border>
    <border>
      <left style="thin">
        <color indexed="64"/>
      </left>
      <right/>
      <top style="thin">
        <color auto="1"/>
      </top>
      <bottom style="hair">
        <color auto="1"/>
      </bottom>
      <diagonal/>
    </border>
    <border>
      <left style="hair">
        <color indexed="64"/>
      </left>
      <right/>
      <top/>
      <bottom style="hair">
        <color auto="1"/>
      </bottom>
      <diagonal/>
    </border>
    <border>
      <left style="hair">
        <color indexed="64"/>
      </left>
      <right style="hair">
        <color indexed="64"/>
      </right>
      <top style="thin">
        <color auto="1"/>
      </top>
      <bottom style="hair">
        <color auto="1"/>
      </bottom>
      <diagonal/>
    </border>
    <border>
      <left style="hair">
        <color indexed="64"/>
      </left>
      <right/>
      <top style="hair">
        <color auto="1"/>
      </top>
      <bottom/>
      <diagonal/>
    </border>
    <border>
      <left style="hair">
        <color indexed="64"/>
      </left>
      <right style="hair">
        <color indexed="64"/>
      </right>
      <top/>
      <bottom style="hair">
        <color auto="1"/>
      </bottom>
      <diagonal/>
    </border>
    <border>
      <left style="hair">
        <color indexed="64"/>
      </left>
      <right style="hair">
        <color indexed="64"/>
      </right>
      <top style="hair">
        <color auto="1"/>
      </top>
      <bottom style="thin">
        <color auto="1"/>
      </bottom>
      <diagonal/>
    </border>
    <border>
      <left style="hair">
        <color indexed="64"/>
      </left>
      <right style="hair">
        <color indexed="64"/>
      </right>
      <top style="hair">
        <color auto="1"/>
      </top>
      <bottom/>
      <diagonal/>
    </border>
    <border>
      <left/>
      <right/>
      <top style="thin">
        <color auto="1"/>
      </top>
      <bottom style="hair">
        <color auto="1"/>
      </bottom>
      <diagonal/>
    </border>
    <border>
      <left style="hair">
        <color indexed="64"/>
      </left>
      <right/>
      <top style="thin">
        <color auto="1"/>
      </top>
      <bottom style="hair">
        <color auto="1"/>
      </bottom>
      <diagonal/>
    </border>
    <border>
      <left style="thin">
        <color indexed="64"/>
      </left>
      <right style="hair">
        <color indexed="64"/>
      </right>
      <top/>
      <bottom style="hair">
        <color auto="1"/>
      </bottom>
      <diagonal/>
    </border>
    <border>
      <left style="thin">
        <color indexed="64"/>
      </left>
      <right style="hair">
        <color indexed="64"/>
      </right>
      <top style="hair">
        <color auto="1"/>
      </top>
      <bottom style="thin">
        <color auto="1"/>
      </bottom>
      <diagonal/>
    </border>
  </borders>
  <cellStyleXfs count="1">
    <xf numFmtId="0" fontId="0" fillId="0" borderId="0"/>
  </cellStyleXfs>
  <cellXfs count="178">
    <xf numFmtId="0" fontId="0" fillId="0" borderId="0" xfId="0"/>
    <xf numFmtId="0" fontId="1" fillId="0" borderId="1" xfId="0" applyFont="1" applyBorder="1" applyAlignment="1">
      <alignment horizontal="center" vertical="center"/>
    </xf>
    <xf numFmtId="0" fontId="1" fillId="0" borderId="1" xfId="0" applyFont="1" applyBorder="1" applyAlignment="1">
      <alignment horizontal="left" vertical="center"/>
    </xf>
    <xf numFmtId="0" fontId="1" fillId="2" borderId="1" xfId="0" applyFont="1" applyFill="1" applyBorder="1" applyAlignment="1">
      <alignment horizontal="center" vertical="center"/>
    </xf>
    <xf numFmtId="0" fontId="0" fillId="0" borderId="1" xfId="0" applyBorder="1" applyAlignment="1">
      <alignment horizontal="center" vertical="center"/>
    </xf>
    <xf numFmtId="49" fontId="0" fillId="0" borderId="1" xfId="0" applyNumberFormat="1" applyBorder="1" applyAlignment="1">
      <alignment horizontal="center" vertical="center"/>
    </xf>
    <xf numFmtId="14" fontId="0" fillId="0" borderId="0" xfId="0" applyNumberFormat="1"/>
    <xf numFmtId="14" fontId="0" fillId="3" borderId="0" xfId="0" applyNumberFormat="1" applyFill="1"/>
    <xf numFmtId="16" fontId="0" fillId="0" borderId="0" xfId="0" applyNumberFormat="1"/>
    <xf numFmtId="0" fontId="0" fillId="4" borderId="0" xfId="0" applyFill="1"/>
    <xf numFmtId="0" fontId="0" fillId="5" borderId="2" xfId="0" applyFill="1" applyBorder="1" applyAlignment="1">
      <alignment vertical="center"/>
    </xf>
    <xf numFmtId="0" fontId="1" fillId="0" borderId="2" xfId="0" applyFont="1" applyBorder="1" applyAlignment="1">
      <alignment horizontal="right" vertical="center" wrapText="1"/>
    </xf>
    <xf numFmtId="0" fontId="0" fillId="0" borderId="0" xfId="0" applyAlignment="1">
      <alignment horizontal="center" vertical="center"/>
    </xf>
    <xf numFmtId="0" fontId="0" fillId="0" borderId="1" xfId="0" applyBorder="1"/>
    <xf numFmtId="0" fontId="0" fillId="0" borderId="4" xfId="0" applyBorder="1"/>
    <xf numFmtId="18" fontId="0" fillId="0" borderId="5" xfId="0" applyNumberFormat="1" applyBorder="1"/>
    <xf numFmtId="0" fontId="0" fillId="0" borderId="6" xfId="0" applyBorder="1"/>
    <xf numFmtId="0" fontId="0" fillId="0" borderId="7" xfId="0" applyBorder="1"/>
    <xf numFmtId="0" fontId="0" fillId="8" borderId="1" xfId="0" applyFill="1" applyBorder="1" applyAlignment="1">
      <alignment horizontal="left" vertical="center"/>
    </xf>
    <xf numFmtId="0" fontId="0" fillId="9" borderId="1" xfId="0" applyFill="1" applyBorder="1" applyAlignment="1">
      <alignment horizontal="left" vertic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12" borderId="1" xfId="0" applyFill="1" applyBorder="1" applyAlignment="1">
      <alignment horizontal="left" vertical="center"/>
    </xf>
    <xf numFmtId="0" fontId="0" fillId="13" borderId="1" xfId="0" applyFill="1" applyBorder="1" applyAlignment="1">
      <alignment horizontal="left" vertical="center"/>
    </xf>
    <xf numFmtId="18" fontId="0" fillId="6" borderId="5" xfId="0" applyNumberFormat="1" applyFill="1" applyBorder="1" applyAlignment="1">
      <alignment horizontal="left"/>
    </xf>
    <xf numFmtId="0" fontId="0" fillId="0" borderId="0" xfId="0" applyAlignment="1">
      <alignment horizontal="right"/>
    </xf>
    <xf numFmtId="0" fontId="0" fillId="0" borderId="0" xfId="0" applyAlignment="1">
      <alignment horizontal="right" vertical="center"/>
    </xf>
    <xf numFmtId="0" fontId="6" fillId="7" borderId="12" xfId="0" applyFont="1" applyFill="1" applyBorder="1" applyAlignment="1">
      <alignment vertical="center"/>
    </xf>
    <xf numFmtId="0" fontId="8" fillId="5" borderId="3" xfId="0" applyFont="1" applyFill="1" applyBorder="1" applyAlignment="1">
      <alignment horizontal="left" vertical="center"/>
    </xf>
    <xf numFmtId="164" fontId="0" fillId="4" borderId="0" xfId="0" applyNumberFormat="1" applyFill="1"/>
    <xf numFmtId="164" fontId="0" fillId="0" borderId="0" xfId="0" applyNumberFormat="1"/>
    <xf numFmtId="49" fontId="7" fillId="0" borderId="0" xfId="0" applyNumberFormat="1" applyFont="1"/>
    <xf numFmtId="0" fontId="0" fillId="0" borderId="13" xfId="0" applyBorder="1"/>
    <xf numFmtId="0" fontId="0" fillId="0" borderId="2" xfId="0" applyBorder="1"/>
    <xf numFmtId="0" fontId="1" fillId="0" borderId="14" xfId="0" applyFont="1" applyBorder="1"/>
    <xf numFmtId="0" fontId="0" fillId="8" borderId="1" xfId="0" applyFill="1" applyBorder="1" applyAlignment="1">
      <alignment horizontal="center" vertical="center" wrapText="1"/>
    </xf>
    <xf numFmtId="0" fontId="0" fillId="9" borderId="1" xfId="0" applyFill="1" applyBorder="1" applyAlignment="1">
      <alignment horizontal="center" vertical="center" wrapText="1"/>
    </xf>
    <xf numFmtId="0" fontId="0" fillId="10" borderId="1" xfId="0" applyFill="1" applyBorder="1" applyAlignment="1">
      <alignment horizontal="center" vertical="center" wrapText="1"/>
    </xf>
    <xf numFmtId="0" fontId="0" fillId="11" borderId="1" xfId="0" applyFill="1" applyBorder="1" applyAlignment="1">
      <alignment horizontal="center" vertical="center" wrapText="1"/>
    </xf>
    <xf numFmtId="0" fontId="0" fillId="12" borderId="1" xfId="0" applyFill="1" applyBorder="1" applyAlignment="1">
      <alignment horizontal="center" vertical="center" wrapText="1"/>
    </xf>
    <xf numFmtId="0" fontId="0" fillId="13" borderId="1" xfId="0" applyFill="1" applyBorder="1" applyAlignment="1">
      <alignment horizontal="center" vertical="center" wrapText="1"/>
    </xf>
    <xf numFmtId="0" fontId="0" fillId="0" borderId="13" xfId="0" applyBorder="1" applyAlignment="1">
      <alignment horizontal="center"/>
    </xf>
    <xf numFmtId="0" fontId="0" fillId="0" borderId="2" xfId="0" applyBorder="1" applyAlignment="1">
      <alignment horizontal="center"/>
    </xf>
    <xf numFmtId="0" fontId="1" fillId="0" borderId="0" xfId="0" applyFont="1" applyAlignment="1">
      <alignment horizontal="right" vertical="center" wrapText="1"/>
    </xf>
    <xf numFmtId="0" fontId="1" fillId="0" borderId="0" xfId="0" applyFont="1"/>
    <xf numFmtId="49" fontId="0" fillId="0" borderId="0" xfId="0" applyNumberFormat="1"/>
    <xf numFmtId="0" fontId="0" fillId="0" borderId="13" xfId="0" applyBorder="1" applyAlignment="1">
      <alignment horizontal="center" vertical="center"/>
    </xf>
    <xf numFmtId="0" fontId="0" fillId="0" borderId="2" xfId="0" applyBorder="1" applyAlignment="1">
      <alignment horizontal="center" vertical="center"/>
    </xf>
    <xf numFmtId="165" fontId="0" fillId="0" borderId="13" xfId="0" applyNumberFormat="1" applyBorder="1" applyAlignment="1">
      <alignment horizontal="center"/>
    </xf>
    <xf numFmtId="165" fontId="0" fillId="0" borderId="2" xfId="0" applyNumberFormat="1" applyBorder="1" applyAlignment="1">
      <alignment horizontal="center"/>
    </xf>
    <xf numFmtId="0" fontId="1" fillId="0" borderId="1" xfId="0" applyFont="1" applyBorder="1"/>
    <xf numFmtId="0" fontId="0" fillId="0" borderId="1" xfId="0" applyBorder="1" applyAlignment="1">
      <alignment wrapText="1"/>
    </xf>
    <xf numFmtId="0" fontId="0" fillId="0" borderId="8" xfId="0" applyBorder="1"/>
    <xf numFmtId="0" fontId="0" fillId="0" borderId="9" xfId="0" applyBorder="1"/>
    <xf numFmtId="0" fontId="0" fillId="0" borderId="10" xfId="0" applyBorder="1"/>
    <xf numFmtId="0" fontId="0" fillId="0" borderId="5" xfId="0" applyBorder="1"/>
    <xf numFmtId="0" fontId="0" fillId="0" borderId="22" xfId="0" applyBorder="1"/>
    <xf numFmtId="0" fontId="7" fillId="0" borderId="0" xfId="0" applyFont="1"/>
    <xf numFmtId="0" fontId="0" fillId="0" borderId="0" xfId="0" applyAlignment="1">
      <alignment wrapText="1"/>
    </xf>
    <xf numFmtId="0" fontId="1" fillId="2" borderId="2" xfId="0" applyFont="1" applyFill="1" applyBorder="1" applyAlignment="1">
      <alignment horizontal="center"/>
    </xf>
    <xf numFmtId="0" fontId="1" fillId="2" borderId="2" xfId="0" applyFont="1" applyFill="1" applyBorder="1"/>
    <xf numFmtId="0" fontId="1" fillId="16" borderId="2" xfId="0" applyFont="1" applyFill="1" applyBorder="1"/>
    <xf numFmtId="0" fontId="0" fillId="16" borderId="2" xfId="0" applyFill="1" applyBorder="1"/>
    <xf numFmtId="0" fontId="0" fillId="0" borderId="1" xfId="0" applyBorder="1" applyAlignment="1">
      <alignment horizontal="center" vertical="center" wrapText="1"/>
    </xf>
    <xf numFmtId="0" fontId="1" fillId="2" borderId="1" xfId="0" applyFont="1" applyFill="1" applyBorder="1" applyAlignment="1">
      <alignment horizontal="center" vertical="center" wrapText="1"/>
    </xf>
    <xf numFmtId="0" fontId="2" fillId="0" borderId="1" xfId="0" applyFont="1" applyBorder="1" applyAlignment="1">
      <alignment horizontal="left" vertical="center" wrapText="1"/>
    </xf>
    <xf numFmtId="49" fontId="0" fillId="0" borderId="1" xfId="0" applyNumberFormat="1" applyBorder="1" applyAlignment="1">
      <alignment horizontal="center" vertical="center" wrapText="1"/>
    </xf>
    <xf numFmtId="0" fontId="2" fillId="0" borderId="1" xfId="0" applyFont="1" applyBorder="1" applyAlignment="1">
      <alignment horizontal="center" vertical="center" wrapText="1"/>
    </xf>
    <xf numFmtId="0" fontId="0" fillId="0" borderId="11" xfId="0" applyBorder="1"/>
    <xf numFmtId="18" fontId="0" fillId="0" borderId="0" xfId="0" applyNumberFormat="1"/>
    <xf numFmtId="0" fontId="0" fillId="0" borderId="20" xfId="0" applyBorder="1"/>
    <xf numFmtId="0" fontId="0" fillId="0" borderId="23" xfId="0" applyBorder="1"/>
    <xf numFmtId="0" fontId="0" fillId="17" borderId="11" xfId="0" applyFill="1" applyBorder="1"/>
    <xf numFmtId="0" fontId="0" fillId="17" borderId="25" xfId="0" applyFill="1" applyBorder="1"/>
    <xf numFmtId="0" fontId="0" fillId="17" borderId="8" xfId="0" applyFill="1" applyBorder="1"/>
    <xf numFmtId="0" fontId="0" fillId="17" borderId="28" xfId="0" applyFill="1" applyBorder="1"/>
    <xf numFmtId="0" fontId="0" fillId="18" borderId="7" xfId="0" applyFill="1" applyBorder="1"/>
    <xf numFmtId="0" fontId="0" fillId="18" borderId="25" xfId="0" applyFill="1" applyBorder="1"/>
    <xf numFmtId="0" fontId="0" fillId="18" borderId="8" xfId="0" applyFill="1" applyBorder="1"/>
    <xf numFmtId="0" fontId="0" fillId="18" borderId="28" xfId="0" applyFill="1" applyBorder="1"/>
    <xf numFmtId="0" fontId="0" fillId="18" borderId="11" xfId="0" applyFill="1" applyBorder="1"/>
    <xf numFmtId="0" fontId="0" fillId="19" borderId="7" xfId="0" applyFill="1" applyBorder="1"/>
    <xf numFmtId="0" fontId="0" fillId="20" borderId="26" xfId="0" applyFill="1" applyBorder="1"/>
    <xf numFmtId="0" fontId="0" fillId="20" borderId="25" xfId="0" applyFill="1" applyBorder="1"/>
    <xf numFmtId="0" fontId="0" fillId="20" borderId="27" xfId="0" applyFill="1" applyBorder="1"/>
    <xf numFmtId="0" fontId="0" fillId="21" borderId="8" xfId="0" applyFill="1" applyBorder="1"/>
    <xf numFmtId="0" fontId="0" fillId="21" borderId="25" xfId="0" applyFill="1" applyBorder="1"/>
    <xf numFmtId="0" fontId="0" fillId="21" borderId="28" xfId="0" applyFill="1" applyBorder="1"/>
    <xf numFmtId="0" fontId="0" fillId="20" borderId="28" xfId="0" applyFill="1" applyBorder="1"/>
    <xf numFmtId="0" fontId="0" fillId="22" borderId="7" xfId="0" applyFill="1" applyBorder="1"/>
    <xf numFmtId="0" fontId="0" fillId="22" borderId="25" xfId="0" applyFill="1" applyBorder="1"/>
    <xf numFmtId="0" fontId="0" fillId="22" borderId="8" xfId="0" applyFill="1" applyBorder="1"/>
    <xf numFmtId="0" fontId="0" fillId="22" borderId="11" xfId="0" applyFill="1" applyBorder="1"/>
    <xf numFmtId="0" fontId="0" fillId="22" borderId="27" xfId="0" applyFill="1" applyBorder="1"/>
    <xf numFmtId="0" fontId="0" fillId="22" borderId="28" xfId="0" applyFill="1" applyBorder="1"/>
    <xf numFmtId="0" fontId="0" fillId="17" borderId="9" xfId="0" applyFill="1" applyBorder="1"/>
    <xf numFmtId="0" fontId="0" fillId="17" borderId="29" xfId="0" applyFill="1" applyBorder="1"/>
    <xf numFmtId="0" fontId="0" fillId="17" borderId="31" xfId="0" applyFill="1" applyBorder="1"/>
    <xf numFmtId="0" fontId="0" fillId="17" borderId="32" xfId="0" applyFill="1" applyBorder="1"/>
    <xf numFmtId="0" fontId="0" fillId="18" borderId="31" xfId="0" applyFill="1" applyBorder="1"/>
    <xf numFmtId="0" fontId="0" fillId="18" borderId="29" xfId="0" applyFill="1" applyBorder="1"/>
    <xf numFmtId="0" fontId="0" fillId="18" borderId="33" xfId="0" applyFill="1" applyBorder="1"/>
    <xf numFmtId="0" fontId="0" fillId="18" borderId="9" xfId="0" applyFill="1" applyBorder="1"/>
    <xf numFmtId="0" fontId="0" fillId="18" borderId="35" xfId="0" applyFill="1" applyBorder="1"/>
    <xf numFmtId="0" fontId="0" fillId="19" borderId="31" xfId="0" applyFill="1" applyBorder="1"/>
    <xf numFmtId="0" fontId="0" fillId="19" borderId="29" xfId="0" applyFill="1" applyBorder="1"/>
    <xf numFmtId="0" fontId="0" fillId="19" borderId="10" xfId="0" applyFill="1" applyBorder="1"/>
    <xf numFmtId="0" fontId="0" fillId="19" borderId="9" xfId="0" applyFill="1" applyBorder="1"/>
    <xf numFmtId="0" fontId="0" fillId="20" borderId="31" xfId="0" applyFill="1" applyBorder="1"/>
    <xf numFmtId="0" fontId="0" fillId="20" borderId="29" xfId="0" applyFill="1" applyBorder="1"/>
    <xf numFmtId="0" fontId="0" fillId="20" borderId="33" xfId="0" applyFill="1" applyBorder="1"/>
    <xf numFmtId="0" fontId="0" fillId="20" borderId="34" xfId="0" applyFill="1" applyBorder="1"/>
    <xf numFmtId="0" fontId="0" fillId="20" borderId="35" xfId="0" applyFill="1" applyBorder="1"/>
    <xf numFmtId="0" fontId="0" fillId="21" borderId="9" xfId="0" applyFill="1" applyBorder="1"/>
    <xf numFmtId="0" fontId="0" fillId="21" borderId="31" xfId="0" applyFill="1" applyBorder="1"/>
    <xf numFmtId="0" fontId="0" fillId="21" borderId="33" xfId="0" applyFill="1" applyBorder="1"/>
    <xf numFmtId="0" fontId="0" fillId="21" borderId="29" xfId="0" applyFill="1" applyBorder="1"/>
    <xf numFmtId="0" fontId="0" fillId="21" borderId="35" xfId="0" applyFill="1" applyBorder="1"/>
    <xf numFmtId="0" fontId="0" fillId="22" borderId="5" xfId="0" applyFill="1" applyBorder="1"/>
    <xf numFmtId="0" fontId="0" fillId="22" borderId="31" xfId="0" applyFill="1" applyBorder="1"/>
    <xf numFmtId="0" fontId="0" fillId="22" borderId="29" xfId="0" applyFill="1" applyBorder="1"/>
    <xf numFmtId="0" fontId="0" fillId="22" borderId="33" xfId="0" applyFill="1" applyBorder="1"/>
    <xf numFmtId="0" fontId="0" fillId="22" borderId="9" xfId="0" applyFill="1" applyBorder="1"/>
    <xf numFmtId="0" fontId="0" fillId="22" borderId="34" xfId="0" applyFill="1" applyBorder="1"/>
    <xf numFmtId="0" fontId="0" fillId="22" borderId="35" xfId="0" applyFill="1" applyBorder="1"/>
    <xf numFmtId="0" fontId="0" fillId="17" borderId="37" xfId="0" applyFill="1" applyBorder="1"/>
    <xf numFmtId="0" fontId="0" fillId="17" borderId="33" xfId="0" applyFill="1" applyBorder="1"/>
    <xf numFmtId="0" fontId="0" fillId="17" borderId="35" xfId="0" applyFill="1" applyBorder="1"/>
    <xf numFmtId="0" fontId="0" fillId="18" borderId="37" xfId="0" applyFill="1" applyBorder="1"/>
    <xf numFmtId="0" fontId="0" fillId="18" borderId="10" xfId="0" applyFill="1" applyBorder="1"/>
    <xf numFmtId="0" fontId="0" fillId="19" borderId="37" xfId="0" applyFill="1" applyBorder="1"/>
    <xf numFmtId="0" fontId="0" fillId="20" borderId="37" xfId="0" applyFill="1" applyBorder="1"/>
    <xf numFmtId="0" fontId="0" fillId="21" borderId="37" xfId="0" applyFill="1" applyBorder="1"/>
    <xf numFmtId="0" fontId="0" fillId="22" borderId="37" xfId="0" applyFill="1" applyBorder="1"/>
    <xf numFmtId="0" fontId="0" fillId="22" borderId="10" xfId="0" applyFill="1" applyBorder="1"/>
    <xf numFmtId="0" fontId="0" fillId="19" borderId="33" xfId="0" applyFill="1" applyBorder="1"/>
    <xf numFmtId="0" fontId="0" fillId="19" borderId="35" xfId="0" applyFill="1" applyBorder="1"/>
    <xf numFmtId="0" fontId="0" fillId="19" borderId="8" xfId="0" applyFill="1" applyBorder="1"/>
    <xf numFmtId="0" fontId="0" fillId="0" borderId="35" xfId="0" applyBorder="1"/>
    <xf numFmtId="0" fontId="0" fillId="0" borderId="24" xfId="0" applyBorder="1"/>
    <xf numFmtId="0" fontId="0" fillId="0" borderId="28" xfId="0" applyBorder="1"/>
    <xf numFmtId="0" fontId="0" fillId="21" borderId="11" xfId="0" applyFill="1" applyBorder="1"/>
    <xf numFmtId="0" fontId="0" fillId="21" borderId="38" xfId="0" applyFill="1" applyBorder="1"/>
    <xf numFmtId="0" fontId="0" fillId="21" borderId="24" xfId="0" applyFill="1" applyBorder="1"/>
    <xf numFmtId="0" fontId="0" fillId="22" borderId="38" xfId="0" applyFill="1" applyBorder="1"/>
    <xf numFmtId="0" fontId="0" fillId="22" borderId="24" xfId="0" applyFill="1" applyBorder="1"/>
    <xf numFmtId="0" fontId="0" fillId="17" borderId="38" xfId="0" applyFill="1" applyBorder="1"/>
    <xf numFmtId="0" fontId="0" fillId="17" borderId="24" xfId="0" applyFill="1" applyBorder="1"/>
    <xf numFmtId="0" fontId="0" fillId="18" borderId="38" xfId="0" applyFill="1" applyBorder="1"/>
    <xf numFmtId="0" fontId="0" fillId="18" borderId="24" xfId="0" applyFill="1" applyBorder="1"/>
    <xf numFmtId="0" fontId="0" fillId="19" borderId="38" xfId="0" applyFill="1" applyBorder="1"/>
    <xf numFmtId="0" fontId="0" fillId="19" borderId="11" xfId="0" applyFill="1" applyBorder="1"/>
    <xf numFmtId="0" fontId="0" fillId="19" borderId="24" xfId="0" applyFill="1" applyBorder="1"/>
    <xf numFmtId="0" fontId="0" fillId="20" borderId="38" xfId="0" applyFill="1" applyBorder="1"/>
    <xf numFmtId="0" fontId="0" fillId="20" borderId="39" xfId="0" applyFill="1" applyBorder="1"/>
    <xf numFmtId="0" fontId="0" fillId="20" borderId="24" xfId="0" applyFill="1" applyBorder="1"/>
    <xf numFmtId="0" fontId="0" fillId="17" borderId="36" xfId="0" applyFill="1" applyBorder="1"/>
    <xf numFmtId="0" fontId="0" fillId="19" borderId="25" xfId="0" applyFill="1" applyBorder="1"/>
    <xf numFmtId="0" fontId="0" fillId="19" borderId="28" xfId="0" applyFill="1" applyBorder="1"/>
    <xf numFmtId="0" fontId="0" fillId="21" borderId="30" xfId="0" applyFill="1" applyBorder="1"/>
    <xf numFmtId="0" fontId="9" fillId="14" borderId="0" xfId="0" applyFont="1" applyFill="1" applyAlignment="1">
      <alignment horizontal="center" vertical="center" textRotation="90"/>
    </xf>
    <xf numFmtId="0" fontId="9" fillId="15" borderId="0" xfId="0" applyFont="1" applyFill="1" applyAlignment="1">
      <alignment horizontal="center" vertical="center" textRotation="90"/>
    </xf>
    <xf numFmtId="0" fontId="10" fillId="0" borderId="15" xfId="0" applyFont="1" applyBorder="1" applyAlignment="1">
      <alignment horizontal="left" vertical="center" wrapText="1"/>
    </xf>
    <xf numFmtId="0" fontId="10" fillId="0" borderId="16" xfId="0" applyFont="1" applyBorder="1" applyAlignment="1">
      <alignment horizontal="left" vertical="center"/>
    </xf>
    <xf numFmtId="0" fontId="10" fillId="0" borderId="17" xfId="0" applyFont="1" applyBorder="1" applyAlignment="1">
      <alignment horizontal="left" vertical="center"/>
    </xf>
    <xf numFmtId="0" fontId="10" fillId="0" borderId="20" xfId="0" applyFont="1" applyBorder="1" applyAlignment="1">
      <alignment horizontal="left" vertical="center"/>
    </xf>
    <xf numFmtId="0" fontId="10" fillId="0" borderId="21" xfId="0" applyFont="1" applyBorder="1" applyAlignment="1">
      <alignment horizontal="left" vertical="center"/>
    </xf>
    <xf numFmtId="0" fontId="10" fillId="0" borderId="14" xfId="0" applyFont="1" applyBorder="1" applyAlignment="1">
      <alignment horizontal="left" vertical="center"/>
    </xf>
    <xf numFmtId="0" fontId="0" fillId="0" borderId="15" xfId="0" applyBorder="1" applyAlignment="1">
      <alignment horizontal="left" vertical="center" wrapText="1"/>
    </xf>
    <xf numFmtId="0" fontId="0" fillId="0" borderId="16"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xf numFmtId="0" fontId="0" fillId="0" borderId="0" xfId="0" applyAlignment="1">
      <alignment horizontal="left" vertical="center"/>
    </xf>
    <xf numFmtId="0" fontId="0" fillId="0" borderId="19" xfId="0" applyBorder="1" applyAlignment="1">
      <alignment horizontal="left" vertical="center"/>
    </xf>
    <xf numFmtId="0" fontId="0" fillId="0" borderId="20" xfId="0" applyBorder="1" applyAlignment="1">
      <alignment horizontal="left" vertical="center"/>
    </xf>
    <xf numFmtId="0" fontId="0" fillId="0" borderId="21" xfId="0" applyBorder="1" applyAlignment="1">
      <alignment horizontal="left" vertical="center"/>
    </xf>
    <xf numFmtId="0" fontId="0" fillId="0" borderId="14" xfId="0" applyBorder="1" applyAlignment="1">
      <alignment horizontal="left" vertical="center"/>
    </xf>
    <xf numFmtId="0" fontId="0" fillId="0" borderId="1" xfId="0"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99CCFF"/>
      <color rgb="FF3399FF"/>
      <color rgb="FF0099FF"/>
      <color rgb="FF66CCFF"/>
      <color rgb="FFFF99CC"/>
      <color rgb="FFFFFF66"/>
      <color rgb="FFEAEAEA"/>
      <color rgb="FF336699"/>
      <color rgb="FF000066"/>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hyperlink" Target="#ParametrosI!A10"/><Relationship Id="rId3" Type="http://schemas.openxmlformats.org/officeDocument/2006/relationships/hyperlink" Target="#horarioActual!A10"/><Relationship Id="rId7" Type="http://schemas.openxmlformats.org/officeDocument/2006/relationships/hyperlink" Target="Manual%20de%20usuario.docx" TargetMode="External"/><Relationship Id="rId12" Type="http://schemas.openxmlformats.org/officeDocument/2006/relationships/hyperlink" Target="#FechasMax!A10"/><Relationship Id="rId2" Type="http://schemas.openxmlformats.org/officeDocument/2006/relationships/hyperlink" Target="#horarioCambio!A10"/><Relationship Id="rId1" Type="http://schemas.openxmlformats.org/officeDocument/2006/relationships/image" Target="../media/image10.png"/><Relationship Id="rId6" Type="http://schemas.openxmlformats.org/officeDocument/2006/relationships/image" Target="../media/image13.png"/><Relationship Id="rId11" Type="http://schemas.openxmlformats.org/officeDocument/2006/relationships/image" Target="../media/image16.png"/><Relationship Id="rId5" Type="http://schemas.openxmlformats.org/officeDocument/2006/relationships/image" Target="../media/image12.png"/><Relationship Id="rId10" Type="http://schemas.openxmlformats.org/officeDocument/2006/relationships/image" Target="../media/image15.png"/><Relationship Id="rId4" Type="http://schemas.openxmlformats.org/officeDocument/2006/relationships/image" Target="../media/image11.png"/><Relationship Id="rId9" Type="http://schemas.openxmlformats.org/officeDocument/2006/relationships/hyperlink" Target="#Capacidad!A10"/><Relationship Id="rId14" Type="http://schemas.openxmlformats.org/officeDocument/2006/relationships/hyperlink" Target="#ParametrosI!A1"/></Relationships>
</file>

<file path=xl/drawings/_rels/drawing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hyperlink" Target="#Inicio!A11"/><Relationship Id="rId1" Type="http://schemas.openxmlformats.org/officeDocument/2006/relationships/image" Target="../media/image15.png"/><Relationship Id="rId4" Type="http://schemas.openxmlformats.org/officeDocument/2006/relationships/image" Target="../media/image21.png"/></Relationships>
</file>

<file path=xl/drawings/_rels/drawing4.xml.rels><?xml version="1.0" encoding="UTF-8" standalone="yes"?>
<Relationships xmlns="http://schemas.openxmlformats.org/package/2006/relationships"><Relationship Id="rId8" Type="http://schemas.openxmlformats.org/officeDocument/2006/relationships/image" Target="../media/image21.png"/><Relationship Id="rId3" Type="http://schemas.openxmlformats.org/officeDocument/2006/relationships/image" Target="../media/image32.png"/><Relationship Id="rId7" Type="http://schemas.openxmlformats.org/officeDocument/2006/relationships/image" Target="../media/image11.png"/><Relationship Id="rId2" Type="http://schemas.openxmlformats.org/officeDocument/2006/relationships/image" Target="../media/image31.jpeg"/><Relationship Id="rId1" Type="http://schemas.openxmlformats.org/officeDocument/2006/relationships/hyperlink" Target="#Inicio!A6"/><Relationship Id="rId6" Type="http://schemas.openxmlformats.org/officeDocument/2006/relationships/image" Target="../media/image34.png"/><Relationship Id="rId11" Type="http://schemas.openxmlformats.org/officeDocument/2006/relationships/image" Target="../media/image37.png"/><Relationship Id="rId5" Type="http://schemas.openxmlformats.org/officeDocument/2006/relationships/image" Target="../media/image33.png"/><Relationship Id="rId10" Type="http://schemas.openxmlformats.org/officeDocument/2006/relationships/image" Target="../media/image36.png"/><Relationship Id="rId4" Type="http://schemas.openxmlformats.org/officeDocument/2006/relationships/image" Target="../media/image20.png"/><Relationship Id="rId9" Type="http://schemas.openxmlformats.org/officeDocument/2006/relationships/image" Target="../media/image35.png"/></Relationships>
</file>

<file path=xl/drawings/_rels/drawing5.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32.png"/><Relationship Id="rId7" Type="http://schemas.openxmlformats.org/officeDocument/2006/relationships/image" Target="../media/image11.png"/><Relationship Id="rId12" Type="http://schemas.openxmlformats.org/officeDocument/2006/relationships/image" Target="../media/image37.png"/><Relationship Id="rId2" Type="http://schemas.openxmlformats.org/officeDocument/2006/relationships/image" Target="../media/image31.jpeg"/><Relationship Id="rId1" Type="http://schemas.openxmlformats.org/officeDocument/2006/relationships/hyperlink" Target="#Inicio!A9"/><Relationship Id="rId6" Type="http://schemas.openxmlformats.org/officeDocument/2006/relationships/image" Target="../media/image34.png"/><Relationship Id="rId11" Type="http://schemas.openxmlformats.org/officeDocument/2006/relationships/image" Target="../media/image36.png"/><Relationship Id="rId5" Type="http://schemas.openxmlformats.org/officeDocument/2006/relationships/image" Target="../media/image33.png"/><Relationship Id="rId10" Type="http://schemas.openxmlformats.org/officeDocument/2006/relationships/image" Target="../media/image35.png"/><Relationship Id="rId4" Type="http://schemas.openxmlformats.org/officeDocument/2006/relationships/image" Target="../media/image20.png"/><Relationship Id="rId9" Type="http://schemas.openxmlformats.org/officeDocument/2006/relationships/image" Target="../media/image21.png"/></Relationships>
</file>

<file path=xl/drawings/_rels/drawing6.xml.rels><?xml version="1.0" encoding="UTF-8" standalone="yes"?>
<Relationships xmlns="http://schemas.openxmlformats.org/package/2006/relationships"><Relationship Id="rId3" Type="http://schemas.openxmlformats.org/officeDocument/2006/relationships/hyperlink" Target="#Inicio!A11"/><Relationship Id="rId2" Type="http://schemas.openxmlformats.org/officeDocument/2006/relationships/image" Target="../media/image16.png"/><Relationship Id="rId1" Type="http://schemas.openxmlformats.org/officeDocument/2006/relationships/image" Target="../media/image11.png"/><Relationship Id="rId6" Type="http://schemas.openxmlformats.org/officeDocument/2006/relationships/image" Target="../media/image33.png"/><Relationship Id="rId5" Type="http://schemas.openxmlformats.org/officeDocument/2006/relationships/image" Target="../media/image20.png"/><Relationship Id="rId4"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ParametrosI!A10"/><Relationship Id="rId1" Type="http://schemas.openxmlformats.org/officeDocument/2006/relationships/hyperlink" Target="#Inicio!A10"/></Relationships>
</file>

<file path=xl/drawings/_rels/vmlDrawing2.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1.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9.emf"/><Relationship Id="rId1" Type="http://schemas.openxmlformats.org/officeDocument/2006/relationships/image" Target="../media/image1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image" Target="../media/image28.emf"/><Relationship Id="rId7" Type="http://schemas.openxmlformats.org/officeDocument/2006/relationships/image" Target="../media/image23.emf"/><Relationship Id="rId2" Type="http://schemas.openxmlformats.org/officeDocument/2006/relationships/image" Target="../media/image25.emf"/><Relationship Id="rId1" Type="http://schemas.openxmlformats.org/officeDocument/2006/relationships/image" Target="../media/image24.emf"/><Relationship Id="rId6" Type="http://schemas.openxmlformats.org/officeDocument/2006/relationships/image" Target="../media/image30.emf"/><Relationship Id="rId5" Type="http://schemas.openxmlformats.org/officeDocument/2006/relationships/image" Target="../media/image27.emf"/><Relationship Id="rId4" Type="http://schemas.openxmlformats.org/officeDocument/2006/relationships/image" Target="../media/image22.emf"/><Relationship Id="rId9" Type="http://schemas.openxmlformats.org/officeDocument/2006/relationships/image" Target="../media/image29.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38.emf"/><Relationship Id="rId7" Type="http://schemas.openxmlformats.org/officeDocument/2006/relationships/image" Target="../media/image41.emf"/><Relationship Id="rId2" Type="http://schemas.openxmlformats.org/officeDocument/2006/relationships/image" Target="../media/image39.emf"/><Relationship Id="rId1" Type="http://schemas.openxmlformats.org/officeDocument/2006/relationships/image" Target="../media/image42.emf"/><Relationship Id="rId6" Type="http://schemas.openxmlformats.org/officeDocument/2006/relationships/image" Target="../media/image44.emf"/><Relationship Id="rId5" Type="http://schemas.openxmlformats.org/officeDocument/2006/relationships/image" Target="../media/image40.emf"/><Relationship Id="rId4"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5.emf"/><Relationship Id="rId1" Type="http://schemas.openxmlformats.org/officeDocument/2006/relationships/image" Target="../media/image48.emf"/><Relationship Id="rId5" Type="http://schemas.openxmlformats.org/officeDocument/2006/relationships/image" Target="../media/image47.emf"/><Relationship Id="rId4"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4</xdr:row>
          <xdr:rowOff>28575</xdr:rowOff>
        </xdr:from>
        <xdr:to>
          <xdr:col>5</xdr:col>
          <xdr:colOff>514350</xdr:colOff>
          <xdr:row>5</xdr:row>
          <xdr:rowOff>66675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R" sz="1100" b="0" i="0" u="none" strike="noStrike" baseline="0">
                  <a:solidFill>
                    <a:srgbClr val="000000"/>
                  </a:solidFill>
                  <a:latin typeface="Calibri"/>
                  <a:cs typeface="Calibri"/>
                </a:rPr>
                <a:t>Ejemplo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0</xdr:row>
          <xdr:rowOff>123825</xdr:rowOff>
        </xdr:from>
        <xdr:to>
          <xdr:col>15</xdr:col>
          <xdr:colOff>0</xdr:colOff>
          <xdr:row>26</xdr:row>
          <xdr:rowOff>142875</xdr:rowOff>
        </xdr:to>
        <xdr:sp macro="" textlink="">
          <xdr:nvSpPr>
            <xdr:cNvPr id="6145" name="Inicio_BackLabel"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18</xdr:row>
          <xdr:rowOff>180975</xdr:rowOff>
        </xdr:from>
        <xdr:to>
          <xdr:col>5</xdr:col>
          <xdr:colOff>171450</xdr:colOff>
          <xdr:row>21</xdr:row>
          <xdr:rowOff>85725</xdr:rowOff>
        </xdr:to>
        <xdr:sp macro="" textlink="">
          <xdr:nvSpPr>
            <xdr:cNvPr id="6153" name="LInicio7"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15</xdr:row>
          <xdr:rowOff>190500</xdr:rowOff>
        </xdr:from>
        <xdr:to>
          <xdr:col>5</xdr:col>
          <xdr:colOff>590550</xdr:colOff>
          <xdr:row>18</xdr:row>
          <xdr:rowOff>114300</xdr:rowOff>
        </xdr:to>
        <xdr:sp macro="" textlink="">
          <xdr:nvSpPr>
            <xdr:cNvPr id="6152" name="LInicio6"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13</xdr:row>
          <xdr:rowOff>28575</xdr:rowOff>
        </xdr:from>
        <xdr:to>
          <xdr:col>5</xdr:col>
          <xdr:colOff>400050</xdr:colOff>
          <xdr:row>15</xdr:row>
          <xdr:rowOff>152400</xdr:rowOff>
        </xdr:to>
        <xdr:sp macro="" textlink="">
          <xdr:nvSpPr>
            <xdr:cNvPr id="6151" name="LInicio5"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10</xdr:row>
          <xdr:rowOff>38100</xdr:rowOff>
        </xdr:from>
        <xdr:to>
          <xdr:col>4</xdr:col>
          <xdr:colOff>542925</xdr:colOff>
          <xdr:row>12</xdr:row>
          <xdr:rowOff>142875</xdr:rowOff>
        </xdr:to>
        <xdr:sp macro="" textlink="">
          <xdr:nvSpPr>
            <xdr:cNvPr id="6150" name="LInicio4"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7</xdr:row>
          <xdr:rowOff>76200</xdr:rowOff>
        </xdr:from>
        <xdr:to>
          <xdr:col>6</xdr:col>
          <xdr:colOff>542925</xdr:colOff>
          <xdr:row>9</xdr:row>
          <xdr:rowOff>171450</xdr:rowOff>
        </xdr:to>
        <xdr:sp macro="" textlink="">
          <xdr:nvSpPr>
            <xdr:cNvPr id="6149" name="LInicio3"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xdr:row>
          <xdr:rowOff>161925</xdr:rowOff>
        </xdr:from>
        <xdr:to>
          <xdr:col>6</xdr:col>
          <xdr:colOff>495300</xdr:colOff>
          <xdr:row>7</xdr:row>
          <xdr:rowOff>19050</xdr:rowOff>
        </xdr:to>
        <xdr:sp macro="" textlink="">
          <xdr:nvSpPr>
            <xdr:cNvPr id="6148" name="LInicio2"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1</xdr:row>
          <xdr:rowOff>114300</xdr:rowOff>
        </xdr:from>
        <xdr:to>
          <xdr:col>6</xdr:col>
          <xdr:colOff>495300</xdr:colOff>
          <xdr:row>4</xdr:row>
          <xdr:rowOff>114300</xdr:rowOff>
        </xdr:to>
        <xdr:sp macro="" textlink="">
          <xdr:nvSpPr>
            <xdr:cNvPr id="6146" name="LInicio1"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114300</xdr:rowOff>
        </xdr:from>
        <xdr:to>
          <xdr:col>11</xdr:col>
          <xdr:colOff>123825</xdr:colOff>
          <xdr:row>4</xdr:row>
          <xdr:rowOff>38100</xdr:rowOff>
        </xdr:to>
        <xdr:sp macro="" textlink="">
          <xdr:nvSpPr>
            <xdr:cNvPr id="6154" name="LInicio8"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228599</xdr:colOff>
      <xdr:row>0</xdr:row>
      <xdr:rowOff>152400</xdr:rowOff>
    </xdr:from>
    <xdr:to>
      <xdr:col>10</xdr:col>
      <xdr:colOff>333374</xdr:colOff>
      <xdr:row>0</xdr:row>
      <xdr:rowOff>609600</xdr:rowOff>
    </xdr:to>
    <xdr:sp macro="[0]!Rectangle1_Click" textlink="">
      <xdr:nvSpPr>
        <xdr:cNvPr id="2" name="Rectangle 1">
          <a:extLst>
            <a:ext uri="{FF2B5EF4-FFF2-40B4-BE49-F238E27FC236}">
              <a16:creationId xmlns:a16="http://schemas.microsoft.com/office/drawing/2014/main" id="{00000000-0008-0000-0200-000002000000}"/>
            </a:ext>
          </a:extLst>
        </xdr:cNvPr>
        <xdr:cNvSpPr/>
      </xdr:nvSpPr>
      <xdr:spPr>
        <a:xfrm>
          <a:off x="228599" y="152400"/>
          <a:ext cx="6200775" cy="457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t>Interfaz</a:t>
          </a:r>
          <a:r>
            <a:rPr lang="en-US" sz="2000" b="1" baseline="0"/>
            <a:t> para Procesamiento de la </a:t>
          </a:r>
          <a:r>
            <a:rPr lang="en-US" sz="2000" b="1"/>
            <a:t>Simulación</a:t>
          </a:r>
        </a:p>
      </xdr:txBody>
    </xdr:sp>
    <xdr:clientData/>
  </xdr:twoCellAnchor>
  <xdr:twoCellAnchor editAs="oneCell">
    <xdr:from>
      <xdr:col>1</xdr:col>
      <xdr:colOff>180975</xdr:colOff>
      <xdr:row>1</xdr:row>
      <xdr:rowOff>184705</xdr:rowOff>
    </xdr:from>
    <xdr:to>
      <xdr:col>1</xdr:col>
      <xdr:colOff>603284</xdr:colOff>
      <xdr:row>4</xdr:row>
      <xdr:rowOff>32614</xdr:rowOff>
    </xdr:to>
    <xdr:pic macro="[0]!ParametrosProceso">
      <xdr:nvPicPr>
        <xdr:cNvPr id="3" name="Picture 2" descr="Parameter - Free ui icons">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790575" y="899080"/>
          <a:ext cx="422309" cy="419409"/>
        </a:xfrm>
        <a:prstGeom prst="rect">
          <a:avLst/>
        </a:prstGeom>
        <a:solidFill>
          <a:srgbClr val="003399"/>
        </a:solidFill>
      </xdr:spPr>
    </xdr:pic>
    <xdr:clientData/>
  </xdr:twoCellAnchor>
  <xdr:twoCellAnchor>
    <xdr:from>
      <xdr:col>1</xdr:col>
      <xdr:colOff>571499</xdr:colOff>
      <xdr:row>2</xdr:row>
      <xdr:rowOff>9525</xdr:rowOff>
    </xdr:from>
    <xdr:to>
      <xdr:col>6</xdr:col>
      <xdr:colOff>571500</xdr:colOff>
      <xdr:row>4</xdr:row>
      <xdr:rowOff>19050</xdr:rowOff>
    </xdr:to>
    <xdr:sp macro="[0]!ParametrosProceso" textlink="">
      <xdr:nvSpPr>
        <xdr:cNvPr id="4" name="Rectangle 3">
          <a:extLst>
            <a:ext uri="{FF2B5EF4-FFF2-40B4-BE49-F238E27FC236}">
              <a16:creationId xmlns:a16="http://schemas.microsoft.com/office/drawing/2014/main" id="{00000000-0008-0000-0200-000004000000}"/>
            </a:ext>
          </a:extLst>
        </xdr:cNvPr>
        <xdr:cNvSpPr/>
      </xdr:nvSpPr>
      <xdr:spPr>
        <a:xfrm>
          <a:off x="1184296" y="915399"/>
          <a:ext cx="3063987" cy="39585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99CCFF"/>
              </a:solidFill>
            </a:rPr>
            <a:t>Parametrización</a:t>
          </a:r>
          <a:r>
            <a:rPr lang="en-US" sz="1600" b="1" baseline="0">
              <a:solidFill>
                <a:srgbClr val="99CCFF"/>
              </a:solidFill>
            </a:rPr>
            <a:t> de la </a:t>
          </a:r>
          <a:r>
            <a:rPr lang="en-US" sz="1600" b="1">
              <a:solidFill>
                <a:srgbClr val="99CCFF"/>
              </a:solidFill>
            </a:rPr>
            <a:t>Simulación</a:t>
          </a:r>
        </a:p>
      </xdr:txBody>
    </xdr:sp>
    <xdr:clientData/>
  </xdr:twoCellAnchor>
  <xdr:twoCellAnchor>
    <xdr:from>
      <xdr:col>1</xdr:col>
      <xdr:colOff>571499</xdr:colOff>
      <xdr:row>7</xdr:row>
      <xdr:rowOff>138146</xdr:rowOff>
    </xdr:from>
    <xdr:to>
      <xdr:col>7</xdr:col>
      <xdr:colOff>323850</xdr:colOff>
      <xdr:row>9</xdr:row>
      <xdr:rowOff>147671</xdr:rowOff>
    </xdr:to>
    <xdr:sp macro="" textlink="">
      <xdr:nvSpPr>
        <xdr:cNvPr id="5" name="Rectangle 4">
          <a:hlinkClick xmlns:r="http://schemas.openxmlformats.org/officeDocument/2006/relationships" r:id="rId2" tooltip="Configuración Cambio de Horario"/>
          <a:extLst>
            <a:ext uri="{FF2B5EF4-FFF2-40B4-BE49-F238E27FC236}">
              <a16:creationId xmlns:a16="http://schemas.microsoft.com/office/drawing/2014/main" id="{00000000-0008-0000-0200-000005000000}"/>
            </a:ext>
          </a:extLst>
        </xdr:cNvPr>
        <xdr:cNvSpPr/>
      </xdr:nvSpPr>
      <xdr:spPr>
        <a:xfrm>
          <a:off x="1181099" y="1995521"/>
          <a:ext cx="3409951"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99CCFF"/>
              </a:solidFill>
            </a:rPr>
            <a:t>Configuración</a:t>
          </a:r>
          <a:r>
            <a:rPr lang="en-US" sz="1600" b="1" baseline="0">
              <a:solidFill>
                <a:srgbClr val="99CCFF"/>
              </a:solidFill>
            </a:rPr>
            <a:t> </a:t>
          </a:r>
          <a:r>
            <a:rPr lang="en-US" sz="1600" b="1" baseline="0">
              <a:solidFill>
                <a:srgbClr val="99CCFF"/>
              </a:solidFill>
              <a:effectLst/>
              <a:latin typeface="+mn-lt"/>
              <a:ea typeface="+mn-ea"/>
              <a:cs typeface="+mn-cs"/>
            </a:rPr>
            <a:t>Cambio </a:t>
          </a:r>
          <a:r>
            <a:rPr lang="en-US" sz="1600" b="1" baseline="0">
              <a:solidFill>
                <a:srgbClr val="99CCFF"/>
              </a:solidFill>
            </a:rPr>
            <a:t>de Horarios</a:t>
          </a:r>
          <a:endParaRPr lang="en-US" sz="1600" b="1">
            <a:solidFill>
              <a:srgbClr val="99CCFF"/>
            </a:solidFill>
          </a:endParaRPr>
        </a:p>
      </xdr:txBody>
    </xdr:sp>
    <xdr:clientData/>
  </xdr:twoCellAnchor>
  <xdr:twoCellAnchor>
    <xdr:from>
      <xdr:col>1</xdr:col>
      <xdr:colOff>571499</xdr:colOff>
      <xdr:row>4</xdr:row>
      <xdr:rowOff>149536</xdr:rowOff>
    </xdr:from>
    <xdr:to>
      <xdr:col>5</xdr:col>
      <xdr:colOff>552450</xdr:colOff>
      <xdr:row>6</xdr:row>
      <xdr:rowOff>159061</xdr:rowOff>
    </xdr:to>
    <xdr:sp macro="" textlink="">
      <xdr:nvSpPr>
        <xdr:cNvPr id="6" name="Rectangle 5">
          <a:hlinkClick xmlns:r="http://schemas.openxmlformats.org/officeDocument/2006/relationships" r:id="rId3" tooltip="Configuración de Horario Actual"/>
          <a:extLst>
            <a:ext uri="{FF2B5EF4-FFF2-40B4-BE49-F238E27FC236}">
              <a16:creationId xmlns:a16="http://schemas.microsoft.com/office/drawing/2014/main" id="{00000000-0008-0000-0200-000006000000}"/>
            </a:ext>
          </a:extLst>
        </xdr:cNvPr>
        <xdr:cNvSpPr/>
      </xdr:nvSpPr>
      <xdr:spPr>
        <a:xfrm>
          <a:off x="1181099" y="1435411"/>
          <a:ext cx="2419351"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99CCFF"/>
              </a:solidFill>
            </a:rPr>
            <a:t>Configuración</a:t>
          </a:r>
          <a:r>
            <a:rPr lang="en-US" sz="1600" b="1" baseline="0">
              <a:solidFill>
                <a:srgbClr val="99CCFF"/>
              </a:solidFill>
            </a:rPr>
            <a:t> de Horarios</a:t>
          </a:r>
          <a:endParaRPr lang="en-US" sz="1600" b="1">
            <a:solidFill>
              <a:srgbClr val="99CCFF"/>
            </a:solidFill>
          </a:endParaRPr>
        </a:p>
      </xdr:txBody>
    </xdr:sp>
    <xdr:clientData/>
  </xdr:twoCellAnchor>
  <xdr:twoCellAnchor editAs="oneCell">
    <xdr:from>
      <xdr:col>1</xdr:col>
      <xdr:colOff>237524</xdr:colOff>
      <xdr:row>4</xdr:row>
      <xdr:rowOff>184770</xdr:rowOff>
    </xdr:from>
    <xdr:to>
      <xdr:col>1</xdr:col>
      <xdr:colOff>603284</xdr:colOff>
      <xdr:row>6</xdr:row>
      <xdr:rowOff>171510</xdr:rowOff>
    </xdr:to>
    <xdr:pic>
      <xdr:nvPicPr>
        <xdr:cNvPr id="7" name="Picture 6" descr="Calendar - Free Tools and utensils icons">
          <a:hlinkClick xmlns:r="http://schemas.openxmlformats.org/officeDocument/2006/relationships" r:id="rId3" tooltip="Configuración Horario Actual"/>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4"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50321" y="1476973"/>
          <a:ext cx="365760" cy="3730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237524</xdr:colOff>
      <xdr:row>7</xdr:row>
      <xdr:rowOff>123811</xdr:rowOff>
    </xdr:from>
    <xdr:to>
      <xdr:col>1</xdr:col>
      <xdr:colOff>603284</xdr:colOff>
      <xdr:row>9</xdr:row>
      <xdr:rowOff>103243</xdr:rowOff>
    </xdr:to>
    <xdr:grpSp>
      <xdr:nvGrpSpPr>
        <xdr:cNvPr id="10" name="Group 9">
          <a:hlinkClick xmlns:r="http://schemas.openxmlformats.org/officeDocument/2006/relationships" r:id="rId2" tooltip="Ir a Cambio de Horario"/>
          <a:extLst>
            <a:ext uri="{FF2B5EF4-FFF2-40B4-BE49-F238E27FC236}">
              <a16:creationId xmlns:a16="http://schemas.microsoft.com/office/drawing/2014/main" id="{00000000-0008-0000-0200-00000A000000}"/>
            </a:ext>
          </a:extLst>
        </xdr:cNvPr>
        <xdr:cNvGrpSpPr/>
      </xdr:nvGrpSpPr>
      <xdr:grpSpPr>
        <a:xfrm>
          <a:off x="849845" y="1981186"/>
          <a:ext cx="365760" cy="360432"/>
          <a:chOff x="695325" y="1971675"/>
          <a:chExt cx="491491" cy="400050"/>
        </a:xfrm>
      </xdr:grpSpPr>
      <xdr:pic>
        <xdr:nvPicPr>
          <xdr:cNvPr id="8" name="Picture 7" descr="Calendar - Free Tools and utensils icons">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4"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695325" y="1971675"/>
            <a:ext cx="400050" cy="40005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9" name="Picture 8" descr="Delta - Free shapes icons">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5"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977265" y="2198371"/>
            <a:ext cx="209551" cy="17145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xdr:col>
      <xdr:colOff>267031</xdr:colOff>
      <xdr:row>16</xdr:row>
      <xdr:rowOff>50126</xdr:rowOff>
    </xdr:from>
    <xdr:to>
      <xdr:col>2</xdr:col>
      <xdr:colOff>19994</xdr:colOff>
      <xdr:row>18</xdr:row>
      <xdr:rowOff>36698</xdr:rowOff>
    </xdr:to>
    <xdr:pic macro="[0]!EjecutaSimulación">
      <xdr:nvPicPr>
        <xdr:cNvPr id="11" name="Picture 10" descr="Simulation Icons - Free SVG &amp; PNG Simulation Images - Noun ...">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6"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76631" y="3622001"/>
          <a:ext cx="362563" cy="367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601006</xdr:colOff>
      <xdr:row>16</xdr:row>
      <xdr:rowOff>43609</xdr:rowOff>
    </xdr:from>
    <xdr:to>
      <xdr:col>6</xdr:col>
      <xdr:colOff>38100</xdr:colOff>
      <xdr:row>18</xdr:row>
      <xdr:rowOff>53134</xdr:rowOff>
    </xdr:to>
    <xdr:sp macro="[0]!EjecutaSimulación" textlink="">
      <xdr:nvSpPr>
        <xdr:cNvPr id="12" name="Rectangle 11">
          <a:extLst>
            <a:ext uri="{FF2B5EF4-FFF2-40B4-BE49-F238E27FC236}">
              <a16:creationId xmlns:a16="http://schemas.microsoft.com/office/drawing/2014/main" id="{00000000-0008-0000-0200-00000C000000}"/>
            </a:ext>
          </a:extLst>
        </xdr:cNvPr>
        <xdr:cNvSpPr/>
      </xdr:nvSpPr>
      <xdr:spPr>
        <a:xfrm>
          <a:off x="1210606" y="3615484"/>
          <a:ext cx="2485094"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99CCFF"/>
              </a:solidFill>
            </a:rPr>
            <a:t>Ejecució</a:t>
          </a:r>
          <a:r>
            <a:rPr lang="en-US" sz="1600" b="1" baseline="0">
              <a:solidFill>
                <a:srgbClr val="99CCFF"/>
              </a:solidFill>
            </a:rPr>
            <a:t>n de la Simulación</a:t>
          </a:r>
          <a:endParaRPr lang="en-US" sz="1600" b="1">
            <a:solidFill>
              <a:srgbClr val="99CCFF"/>
            </a:solidFill>
          </a:endParaRPr>
        </a:p>
      </xdr:txBody>
    </xdr:sp>
    <xdr:clientData/>
  </xdr:twoCellAnchor>
  <xdr:twoCellAnchor editAs="oneCell">
    <xdr:from>
      <xdr:col>1</xdr:col>
      <xdr:colOff>247049</xdr:colOff>
      <xdr:row>19</xdr:row>
      <xdr:rowOff>50126</xdr:rowOff>
    </xdr:from>
    <xdr:to>
      <xdr:col>2</xdr:col>
      <xdr:colOff>3209</xdr:colOff>
      <xdr:row>21</xdr:row>
      <xdr:rowOff>36874</xdr:rowOff>
    </xdr:to>
    <xdr:pic>
      <xdr:nvPicPr>
        <xdr:cNvPr id="14" name="Picture 13" descr="Analysis data analytics - Infographics Icons">
          <a:hlinkClick xmlns:r="http://schemas.openxmlformats.org/officeDocument/2006/relationships" r:id="rId7"/>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8"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56649" y="4193501"/>
          <a:ext cx="365760" cy="367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581023</xdr:colOff>
      <xdr:row>19</xdr:row>
      <xdr:rowOff>63020</xdr:rowOff>
    </xdr:from>
    <xdr:to>
      <xdr:col>5</xdr:col>
      <xdr:colOff>588064</xdr:colOff>
      <xdr:row>21</xdr:row>
      <xdr:rowOff>72545</xdr:rowOff>
    </xdr:to>
    <xdr:sp macro="" textlink="">
      <xdr:nvSpPr>
        <xdr:cNvPr id="15" name="Rectangle 14">
          <a:hlinkClick xmlns:r="http://schemas.openxmlformats.org/officeDocument/2006/relationships" r:id="rId7"/>
          <a:extLst>
            <a:ext uri="{FF2B5EF4-FFF2-40B4-BE49-F238E27FC236}">
              <a16:creationId xmlns:a16="http://schemas.microsoft.com/office/drawing/2014/main" id="{00000000-0008-0000-0200-00000F000000}"/>
            </a:ext>
          </a:extLst>
        </xdr:cNvPr>
        <xdr:cNvSpPr/>
      </xdr:nvSpPr>
      <xdr:spPr>
        <a:xfrm>
          <a:off x="1193936" y="4204324"/>
          <a:ext cx="2458693"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99CCFF"/>
              </a:solidFill>
            </a:rPr>
            <a:t>Manual de uso</a:t>
          </a:r>
        </a:p>
      </xdr:txBody>
    </xdr:sp>
    <xdr:clientData/>
  </xdr:twoCellAnchor>
  <xdr:twoCellAnchor>
    <xdr:from>
      <xdr:col>1</xdr:col>
      <xdr:colOff>587684</xdr:colOff>
      <xdr:row>13</xdr:row>
      <xdr:rowOff>96325</xdr:rowOff>
    </xdr:from>
    <xdr:to>
      <xdr:col>5</xdr:col>
      <xdr:colOff>390525</xdr:colOff>
      <xdr:row>15</xdr:row>
      <xdr:rowOff>105850</xdr:rowOff>
    </xdr:to>
    <xdr:sp macro="" textlink="">
      <xdr:nvSpPr>
        <xdr:cNvPr id="16" name="Rectangle 15">
          <a:hlinkClick xmlns:r="http://schemas.openxmlformats.org/officeDocument/2006/relationships" r:id="rId9" tooltip="Capacidad Configurada"/>
          <a:extLst>
            <a:ext uri="{FF2B5EF4-FFF2-40B4-BE49-F238E27FC236}">
              <a16:creationId xmlns:a16="http://schemas.microsoft.com/office/drawing/2014/main" id="{00000000-0008-0000-0200-000010000000}"/>
            </a:ext>
          </a:extLst>
        </xdr:cNvPr>
        <xdr:cNvSpPr/>
      </xdr:nvSpPr>
      <xdr:spPr>
        <a:xfrm>
          <a:off x="1197284" y="3096700"/>
          <a:ext cx="2241241"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baseline="0">
              <a:solidFill>
                <a:srgbClr val="99CCFF"/>
              </a:solidFill>
            </a:rPr>
            <a:t>Capacidad Configurada</a:t>
          </a:r>
          <a:endParaRPr lang="en-US" sz="1600" b="1">
            <a:solidFill>
              <a:srgbClr val="99CCFF"/>
            </a:solidFill>
          </a:endParaRPr>
        </a:p>
      </xdr:txBody>
    </xdr:sp>
    <xdr:clientData/>
  </xdr:twoCellAnchor>
  <xdr:twoCellAnchor editAs="oneCell">
    <xdr:from>
      <xdr:col>1</xdr:col>
      <xdr:colOff>253709</xdr:colOff>
      <xdr:row>13</xdr:row>
      <xdr:rowOff>98047</xdr:rowOff>
    </xdr:from>
    <xdr:to>
      <xdr:col>2</xdr:col>
      <xdr:colOff>9869</xdr:colOff>
      <xdr:row>15</xdr:row>
      <xdr:rowOff>80831</xdr:rowOff>
    </xdr:to>
    <xdr:pic>
      <xdr:nvPicPr>
        <xdr:cNvPr id="18" name="Picture 17" descr="Teamwork - Free people icons">
          <a:hlinkClick xmlns:r="http://schemas.openxmlformats.org/officeDocument/2006/relationships" r:id="rId9" tooltip="Capacidad Configurada"/>
          <a:extLst>
            <a:ext uri="{FF2B5EF4-FFF2-40B4-BE49-F238E27FC236}">
              <a16:creationId xmlns:a16="http://schemas.microsoft.com/office/drawing/2014/main" id="{00000000-0008-0000-0200-000012000000}"/>
            </a:ext>
          </a:extLst>
        </xdr:cNvPr>
        <xdr:cNvPicPr>
          <a:picLocks noChangeAspect="1" noChangeArrowheads="1"/>
        </xdr:cNvPicPr>
      </xdr:nvPicPr>
      <xdr:blipFill>
        <a:blip xmlns:r="http://schemas.openxmlformats.org/officeDocument/2006/relationships" r:embed="rId10"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63309" y="3098422"/>
          <a:ext cx="365760" cy="3637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238126</xdr:colOff>
      <xdr:row>10</xdr:row>
      <xdr:rowOff>104775</xdr:rowOff>
    </xdr:from>
    <xdr:to>
      <xdr:col>1</xdr:col>
      <xdr:colOff>600076</xdr:colOff>
      <xdr:row>12</xdr:row>
      <xdr:rowOff>152400</xdr:rowOff>
    </xdr:to>
    <xdr:grpSp>
      <xdr:nvGrpSpPr>
        <xdr:cNvPr id="13" name="Group 12">
          <a:extLst>
            <a:ext uri="{FF2B5EF4-FFF2-40B4-BE49-F238E27FC236}">
              <a16:creationId xmlns:a16="http://schemas.microsoft.com/office/drawing/2014/main" id="{00000000-0008-0000-0200-00000D000000}"/>
            </a:ext>
          </a:extLst>
        </xdr:cNvPr>
        <xdr:cNvGrpSpPr/>
      </xdr:nvGrpSpPr>
      <xdr:grpSpPr>
        <a:xfrm>
          <a:off x="850447" y="2533650"/>
          <a:ext cx="361950" cy="428625"/>
          <a:chOff x="7909165" y="2143125"/>
          <a:chExt cx="505181" cy="574196"/>
        </a:xfrm>
      </xdr:grpSpPr>
      <xdr:pic>
        <xdr:nvPicPr>
          <xdr:cNvPr id="17" name="Picture 16" descr="Calendar - Free Tools and utensils icons">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4"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7909165" y="2143125"/>
            <a:ext cx="400050" cy="408043"/>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9" name="Picture 18" descr="Back-To-Top Icons - Free SVG &amp; PNG Back-To-Top Images - Noun ...">
            <a:extLst>
              <a:ext uri="{FF2B5EF4-FFF2-40B4-BE49-F238E27FC236}">
                <a16:creationId xmlns:a16="http://schemas.microsoft.com/office/drawing/2014/main" id="{00000000-0008-0000-0200-000013000000}"/>
              </a:ext>
            </a:extLst>
          </xdr:cNvPr>
          <xdr:cNvPicPr>
            <a:picLocks noChangeAspect="1" noChangeArrowheads="1"/>
          </xdr:cNvPicPr>
        </xdr:nvPicPr>
        <xdr:blipFill>
          <a:blip xmlns:r="http://schemas.openxmlformats.org/officeDocument/2006/relationships" r:embed="rId11"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121586" y="2353752"/>
            <a:ext cx="292760" cy="36356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600074</xdr:colOff>
      <xdr:row>10</xdr:row>
      <xdr:rowOff>80996</xdr:rowOff>
    </xdr:from>
    <xdr:to>
      <xdr:col>5</xdr:col>
      <xdr:colOff>104775</xdr:colOff>
      <xdr:row>12</xdr:row>
      <xdr:rowOff>90521</xdr:rowOff>
    </xdr:to>
    <xdr:sp macro="" textlink="">
      <xdr:nvSpPr>
        <xdr:cNvPr id="20" name="Rectangle 19">
          <a:hlinkClick xmlns:r="http://schemas.openxmlformats.org/officeDocument/2006/relationships" r:id="rId12" tooltip="Configuración Cambio de Horario"/>
          <a:extLst>
            <a:ext uri="{FF2B5EF4-FFF2-40B4-BE49-F238E27FC236}">
              <a16:creationId xmlns:a16="http://schemas.microsoft.com/office/drawing/2014/main" id="{00000000-0008-0000-0200-000014000000}"/>
            </a:ext>
          </a:extLst>
        </xdr:cNvPr>
        <xdr:cNvSpPr/>
      </xdr:nvSpPr>
      <xdr:spPr>
        <a:xfrm>
          <a:off x="1209674" y="2509871"/>
          <a:ext cx="1943101"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99CCFF"/>
              </a:solidFill>
            </a:rPr>
            <a:t>Fechas</a:t>
          </a:r>
          <a:r>
            <a:rPr lang="en-US" sz="1600" b="1" baseline="0">
              <a:solidFill>
                <a:srgbClr val="99CCFF"/>
              </a:solidFill>
            </a:rPr>
            <a:t> Máximas</a:t>
          </a:r>
          <a:endParaRPr lang="en-US" sz="1600" b="1">
            <a:solidFill>
              <a:srgbClr val="99CCFF"/>
            </a:solidFill>
          </a:endParaRPr>
        </a:p>
      </xdr:txBody>
    </xdr:sp>
    <xdr:clientData/>
  </xdr:twoCellAnchor>
  <xdr:twoCellAnchor>
    <xdr:from>
      <xdr:col>7</xdr:col>
      <xdr:colOff>47625</xdr:colOff>
      <xdr:row>1</xdr:row>
      <xdr:rowOff>146605</xdr:rowOff>
    </xdr:from>
    <xdr:to>
      <xdr:col>8</xdr:col>
      <xdr:colOff>28576</xdr:colOff>
      <xdr:row>4</xdr:row>
      <xdr:rowOff>38101</xdr:rowOff>
    </xdr:to>
    <xdr:grpSp>
      <xdr:nvGrpSpPr>
        <xdr:cNvPr id="23" name="Group 22">
          <a:hlinkClick xmlns:r="http://schemas.openxmlformats.org/officeDocument/2006/relationships" r:id="rId13"/>
          <a:extLst>
            <a:ext uri="{FF2B5EF4-FFF2-40B4-BE49-F238E27FC236}">
              <a16:creationId xmlns:a16="http://schemas.microsoft.com/office/drawing/2014/main" id="{00000000-0008-0000-0200-000017000000}"/>
            </a:ext>
          </a:extLst>
        </xdr:cNvPr>
        <xdr:cNvGrpSpPr/>
      </xdr:nvGrpSpPr>
      <xdr:grpSpPr>
        <a:xfrm>
          <a:off x="4333875" y="860980"/>
          <a:ext cx="593272" cy="462996"/>
          <a:chOff x="4314825" y="860980"/>
          <a:chExt cx="590551" cy="462996"/>
        </a:xfrm>
      </xdr:grpSpPr>
      <xdr:pic>
        <xdr:nvPicPr>
          <xdr:cNvPr id="21" name="Picture 20" descr="Parameter - Free ui icons">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1"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4314825" y="860980"/>
            <a:ext cx="422309" cy="419409"/>
          </a:xfrm>
          <a:prstGeom prst="rect">
            <a:avLst/>
          </a:prstGeom>
          <a:solidFill>
            <a:srgbClr val="003399"/>
          </a:solidFill>
        </xdr:spPr>
      </xdr:pic>
      <xdr:sp macro="" textlink="">
        <xdr:nvSpPr>
          <xdr:cNvPr id="22" name="Rectangle 21">
            <a:extLst>
              <a:ext uri="{FF2B5EF4-FFF2-40B4-BE49-F238E27FC236}">
                <a16:creationId xmlns:a16="http://schemas.microsoft.com/office/drawing/2014/main" id="{00000000-0008-0000-0200-000016000000}"/>
              </a:ext>
            </a:extLst>
          </xdr:cNvPr>
          <xdr:cNvSpPr/>
        </xdr:nvSpPr>
        <xdr:spPr>
          <a:xfrm>
            <a:off x="4562476" y="952500"/>
            <a:ext cx="342900" cy="3714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accent1"/>
                </a:solidFill>
                <a:latin typeface="Times New Roman" panose="02020603050405020304" pitchFamily="18" charset="0"/>
                <a:cs typeface="Times New Roman" panose="02020603050405020304" pitchFamily="18" charset="0"/>
              </a:rPr>
              <a:t>i</a:t>
            </a:r>
          </a:p>
        </xdr:txBody>
      </xdr:sp>
    </xdr:grpSp>
    <xdr:clientData/>
  </xdr:twoCellAnchor>
  <xdr:twoCellAnchor>
    <xdr:from>
      <xdr:col>7</xdr:col>
      <xdr:colOff>476249</xdr:colOff>
      <xdr:row>1</xdr:row>
      <xdr:rowOff>180975</xdr:rowOff>
    </xdr:from>
    <xdr:to>
      <xdr:col>12</xdr:col>
      <xdr:colOff>476250</xdr:colOff>
      <xdr:row>4</xdr:row>
      <xdr:rowOff>0</xdr:rowOff>
    </xdr:to>
    <xdr:sp macro="" textlink="">
      <xdr:nvSpPr>
        <xdr:cNvPr id="24" name="Rectangle 23">
          <a:hlinkClick xmlns:r="http://schemas.openxmlformats.org/officeDocument/2006/relationships" r:id="rId14"/>
          <a:extLst>
            <a:ext uri="{FF2B5EF4-FFF2-40B4-BE49-F238E27FC236}">
              <a16:creationId xmlns:a16="http://schemas.microsoft.com/office/drawing/2014/main" id="{00000000-0008-0000-0200-000018000000}"/>
            </a:ext>
          </a:extLst>
        </xdr:cNvPr>
        <xdr:cNvSpPr/>
      </xdr:nvSpPr>
      <xdr:spPr>
        <a:xfrm>
          <a:off x="4743449" y="895350"/>
          <a:ext cx="3048001"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99CCFF"/>
              </a:solidFill>
            </a:rPr>
            <a:t>Configuración</a:t>
          </a:r>
          <a:r>
            <a:rPr lang="en-US" sz="1600" b="1" baseline="0">
              <a:solidFill>
                <a:srgbClr val="99CCFF"/>
              </a:solidFill>
            </a:rPr>
            <a:t> Interfaz</a:t>
          </a:r>
          <a:endParaRPr lang="en-US" sz="1600" b="1">
            <a:solidFill>
              <a:srgbClr val="99CCFF"/>
            </a:solidFill>
          </a:endParaRPr>
        </a:p>
      </xdr:txBody>
    </xdr:sp>
    <xdr:clientData/>
  </xdr:twoCellAnchor>
  <xdr:twoCellAnchor>
    <xdr:from>
      <xdr:col>7</xdr:col>
      <xdr:colOff>87922</xdr:colOff>
      <xdr:row>5</xdr:row>
      <xdr:rowOff>13188</xdr:rowOff>
    </xdr:from>
    <xdr:to>
      <xdr:col>11</xdr:col>
      <xdr:colOff>14654</xdr:colOff>
      <xdr:row>14</xdr:row>
      <xdr:rowOff>107673</xdr:rowOff>
    </xdr:to>
    <xdr:sp macro="" textlink="">
      <xdr:nvSpPr>
        <xdr:cNvPr id="25" name="InicioToolTip">
          <a:extLst>
            <a:ext uri="{FF2B5EF4-FFF2-40B4-BE49-F238E27FC236}">
              <a16:creationId xmlns:a16="http://schemas.microsoft.com/office/drawing/2014/main" id="{00000000-0008-0000-0200-000019000000}"/>
            </a:ext>
          </a:extLst>
        </xdr:cNvPr>
        <xdr:cNvSpPr/>
      </xdr:nvSpPr>
      <xdr:spPr>
        <a:xfrm>
          <a:off x="4378313" y="1487492"/>
          <a:ext cx="2378384" cy="1808985"/>
        </a:xfrm>
        <a:prstGeom prst="rect">
          <a:avLst/>
        </a:prstGeom>
        <a:solidFill>
          <a:srgbClr val="3399FF"/>
        </a:solidFill>
        <a:ln w="3175">
          <a:solidFill>
            <a:schemeClr val="bg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s-CR" sz="1200" b="0">
              <a:solidFill>
                <a:schemeClr val="bg1"/>
              </a:solidFill>
            </a:rPr>
            <a:t>Bienvenido a la Interfaz de la Simulación.
Coloque el puntero sobre alguna de las opciones para recibir información sobre su utilización.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495300</xdr:colOff>
          <xdr:row>0</xdr:row>
          <xdr:rowOff>342900</xdr:rowOff>
        </xdr:from>
        <xdr:to>
          <xdr:col>2</xdr:col>
          <xdr:colOff>581025</xdr:colOff>
          <xdr:row>9</xdr:row>
          <xdr:rowOff>200025</xdr:rowOff>
        </xdr:to>
        <xdr:sp macro="" textlink="">
          <xdr:nvSpPr>
            <xdr:cNvPr id="7169" name="Capacidad_BackLabel"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104775</xdr:colOff>
      <xdr:row>0</xdr:row>
      <xdr:rowOff>104775</xdr:rowOff>
    </xdr:from>
    <xdr:to>
      <xdr:col>0</xdr:col>
      <xdr:colOff>537728</xdr:colOff>
      <xdr:row>5</xdr:row>
      <xdr:rowOff>55918</xdr:rowOff>
    </xdr:to>
    <xdr:pic>
      <xdr:nvPicPr>
        <xdr:cNvPr id="5" name="Picture 4" descr="Teamwork - Free people icons">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04775" y="104775"/>
          <a:ext cx="432953" cy="4369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285750</xdr:colOff>
      <xdr:row>0</xdr:row>
      <xdr:rowOff>47625</xdr:rowOff>
    </xdr:from>
    <xdr:to>
      <xdr:col>9</xdr:col>
      <xdr:colOff>575310</xdr:colOff>
      <xdr:row>0</xdr:row>
      <xdr:rowOff>417195</xdr:rowOff>
    </xdr:to>
    <xdr:sp macro="" textlink="">
      <xdr:nvSpPr>
        <xdr:cNvPr id="9" name="Rectangle 8">
          <a:hlinkClick xmlns:r="http://schemas.openxmlformats.org/officeDocument/2006/relationships" r:id="rId2" tooltip="Regresar al Inicio"/>
          <a:extLst>
            <a:ext uri="{FF2B5EF4-FFF2-40B4-BE49-F238E27FC236}">
              <a16:creationId xmlns:a16="http://schemas.microsoft.com/office/drawing/2014/main" id="{00000000-0008-0000-0400-000009000000}"/>
            </a:ext>
          </a:extLst>
        </xdr:cNvPr>
        <xdr:cNvSpPr/>
      </xdr:nvSpPr>
      <xdr:spPr>
        <a:xfrm>
          <a:off x="285750" y="47625"/>
          <a:ext cx="8061960" cy="36957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bg1">
                  <a:lumMod val="95000"/>
                </a:schemeClr>
              </a:solidFill>
            </a:rPr>
            <a:t>	Capacidad</a:t>
          </a:r>
          <a:r>
            <a:rPr lang="en-US" sz="2000" b="1" baseline="0">
              <a:solidFill>
                <a:schemeClr val="bg1">
                  <a:lumMod val="95000"/>
                </a:schemeClr>
              </a:solidFill>
            </a:rPr>
            <a:t> configurada</a:t>
          </a:r>
          <a:endParaRPr lang="en-US" sz="2000" b="1">
            <a:solidFill>
              <a:schemeClr val="bg1">
                <a:lumMod val="95000"/>
              </a:schemeClr>
            </a:solidFill>
          </a:endParaRPr>
        </a:p>
      </xdr:txBody>
    </xdr:sp>
    <xdr:clientData/>
  </xdr:twoCellAnchor>
  <xdr:twoCellAnchor>
    <xdr:from>
      <xdr:col>0</xdr:col>
      <xdr:colOff>561975</xdr:colOff>
      <xdr:row>5</xdr:row>
      <xdr:rowOff>57150</xdr:rowOff>
    </xdr:from>
    <xdr:to>
      <xdr:col>1</xdr:col>
      <xdr:colOff>504825</xdr:colOff>
      <xdr:row>6</xdr:row>
      <xdr:rowOff>247650</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561975" y="543119"/>
          <a:ext cx="555171" cy="384888"/>
          <a:chOff x="561975" y="542926"/>
          <a:chExt cx="552450" cy="381001"/>
        </a:xfrm>
      </xdr:grpSpPr>
      <mc:AlternateContent xmlns:mc="http://schemas.openxmlformats.org/markup-compatibility/2006">
        <mc:Choice xmlns:a14="http://schemas.microsoft.com/office/drawing/2010/main" Requires="a14">
          <xdr:sp macro="" textlink="">
            <xdr:nvSpPr>
              <xdr:cNvPr id="7170" name="LCapacidad1"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561975" y="542926"/>
                <a:ext cx="552450" cy="381001"/>
              </a:xfrm>
              <a:prstGeom prst="rect">
                <a:avLst/>
              </a:prstGeom>
              <a:noFill/>
              <a:ln>
                <a:noFill/>
              </a:ln>
              <a:extLst>
                <a:ext uri="{91240B29-F687-4F45-9708-019B960494DF}">
                  <a14:hiddenLine w="9525">
                    <a:noFill/>
                    <a:miter lim="800000"/>
                    <a:headEnd/>
                    <a:tailEnd/>
                  </a14:hiddenLine>
                </a:ext>
              </a:extLst>
            </xdr:spPr>
          </xdr:sp>
        </mc:Choice>
        <mc:Fallback/>
      </mc:AlternateContent>
      <xdr:pic macro="[0]!AbreHorariosCapacidad">
        <xdr:nvPicPr>
          <xdr:cNvPr id="10" name="Picture 9" descr="Arrows, refresh, reload, update icon - Free download">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3"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742950" y="571500"/>
            <a:ext cx="317183" cy="32048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561975</xdr:colOff>
      <xdr:row>7</xdr:row>
      <xdr:rowOff>104775</xdr:rowOff>
    </xdr:from>
    <xdr:to>
      <xdr:col>1</xdr:col>
      <xdr:colOff>514350</xdr:colOff>
      <xdr:row>9</xdr:row>
      <xdr:rowOff>66675</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561975" y="1086433"/>
          <a:ext cx="564696" cy="457589"/>
          <a:chOff x="561975" y="1085850"/>
          <a:chExt cx="561975" cy="457200"/>
        </a:xfrm>
      </xdr:grpSpPr>
      <mc:AlternateContent xmlns:mc="http://schemas.openxmlformats.org/markup-compatibility/2006">
        <mc:Choice xmlns:a14="http://schemas.microsoft.com/office/drawing/2010/main" Requires="a14">
          <xdr:sp macro="" textlink="">
            <xdr:nvSpPr>
              <xdr:cNvPr id="7171" name="LCapacidad2"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561975" y="1085850"/>
                <a:ext cx="561975" cy="457200"/>
              </a:xfrm>
              <a:prstGeom prst="rect">
                <a:avLst/>
              </a:prstGeom>
              <a:noFill/>
              <a:ln>
                <a:noFill/>
              </a:ln>
              <a:extLst>
                <a:ext uri="{91240B29-F687-4F45-9708-019B960494DF}">
                  <a14:hiddenLine w="9525">
                    <a:noFill/>
                    <a:miter lim="800000"/>
                    <a:headEnd/>
                    <a:tailEnd/>
                  </a14:hiddenLine>
                </a:ext>
              </a:extLst>
            </xdr:spPr>
          </xdr:sp>
        </mc:Choice>
        <mc:Fallback/>
      </mc:AlternateContent>
      <xdr:pic macro="[0]!limpiaCapacidad">
        <xdr:nvPicPr>
          <xdr:cNvPr id="14" name="Picture 13" descr="Delete Special Lineal color icon">
            <a:extLst>
              <a:ext uri="{FF2B5EF4-FFF2-40B4-BE49-F238E27FC236}">
                <a16:creationId xmlns:a16="http://schemas.microsoft.com/office/drawing/2014/main" id="{00000000-0008-0000-0400-00000E000000}"/>
              </a:ext>
            </a:extLst>
          </xdr:cNvPr>
          <xdr:cNvPicPr>
            <a:picLocks noChangeAspect="1" noChangeArrowheads="1"/>
          </xdr:cNvPicPr>
        </xdr:nvPicPr>
        <xdr:blipFill>
          <a:blip xmlns:r="http://schemas.openxmlformats.org/officeDocument/2006/relationships" r:embed="rId4"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695325" y="1133475"/>
            <a:ext cx="365760" cy="3657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666750</xdr:colOff>
          <xdr:row>2</xdr:row>
          <xdr:rowOff>66675</xdr:rowOff>
        </xdr:from>
        <xdr:to>
          <xdr:col>2</xdr:col>
          <xdr:colOff>1085850</xdr:colOff>
          <xdr:row>9</xdr:row>
          <xdr:rowOff>152400</xdr:rowOff>
        </xdr:to>
        <xdr:sp macro="" textlink="">
          <xdr:nvSpPr>
            <xdr:cNvPr id="8193" name="horarioActual_Backlabel"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0</xdr:row>
          <xdr:rowOff>285750</xdr:rowOff>
        </xdr:from>
        <xdr:to>
          <xdr:col>9</xdr:col>
          <xdr:colOff>685800</xdr:colOff>
          <xdr:row>8</xdr:row>
          <xdr:rowOff>171450</xdr:rowOff>
        </xdr:to>
        <xdr:sp macro="" textlink="">
          <xdr:nvSpPr>
            <xdr:cNvPr id="8202" name="horarioActual_Backlabel3" hidden="1">
              <a:extLst>
                <a:ext uri="{63B3BB69-23CF-44E3-9099-C40C66FF867C}">
                  <a14:compatExt spid="_x0000_s8202"/>
                </a:ext>
                <a:ext uri="{FF2B5EF4-FFF2-40B4-BE49-F238E27FC236}">
                  <a16:creationId xmlns:a16="http://schemas.microsoft.com/office/drawing/2014/main" id="{00000000-0008-0000-05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1</xdr:row>
          <xdr:rowOff>123825</xdr:rowOff>
        </xdr:from>
        <xdr:to>
          <xdr:col>5</xdr:col>
          <xdr:colOff>619125</xdr:colOff>
          <xdr:row>8</xdr:row>
          <xdr:rowOff>76200</xdr:rowOff>
        </xdr:to>
        <xdr:sp macro="" textlink="">
          <xdr:nvSpPr>
            <xdr:cNvPr id="8201" name="horarioActual_Backlabel2" hidden="1">
              <a:extLst>
                <a:ext uri="{63B3BB69-23CF-44E3-9099-C40C66FF867C}">
                  <a14:compatExt spid="_x0000_s8201"/>
                </a:ext>
                <a:ext uri="{FF2B5EF4-FFF2-40B4-BE49-F238E27FC236}">
                  <a16:creationId xmlns:a16="http://schemas.microsoft.com/office/drawing/2014/main" id="{00000000-0008-0000-05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5715</xdr:colOff>
      <xdr:row>0</xdr:row>
      <xdr:rowOff>11430</xdr:rowOff>
    </xdr:from>
    <xdr:to>
      <xdr:col>7</xdr:col>
      <xdr:colOff>485775</xdr:colOff>
      <xdr:row>1</xdr:row>
      <xdr:rowOff>0</xdr:rowOff>
    </xdr:to>
    <xdr:sp macro="" textlink="">
      <xdr:nvSpPr>
        <xdr:cNvPr id="3" name="Rectangle 2">
          <a:hlinkClick xmlns:r="http://schemas.openxmlformats.org/officeDocument/2006/relationships" r:id="rId1" tooltip="Regresar al Inicio"/>
          <a:extLst>
            <a:ext uri="{FF2B5EF4-FFF2-40B4-BE49-F238E27FC236}">
              <a16:creationId xmlns:a16="http://schemas.microsoft.com/office/drawing/2014/main" id="{00000000-0008-0000-0500-000003000000}"/>
            </a:ext>
          </a:extLst>
        </xdr:cNvPr>
        <xdr:cNvSpPr/>
      </xdr:nvSpPr>
      <xdr:spPr>
        <a:xfrm>
          <a:off x="5715" y="11430"/>
          <a:ext cx="7176135" cy="36957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bg1">
                  <a:lumMod val="95000"/>
                </a:schemeClr>
              </a:solidFill>
            </a:rPr>
            <a:t>	Horario</a:t>
          </a:r>
          <a:r>
            <a:rPr lang="en-US" sz="2000" b="1" baseline="0">
              <a:solidFill>
                <a:schemeClr val="bg1">
                  <a:lumMod val="95000"/>
                </a:schemeClr>
              </a:solidFill>
            </a:rPr>
            <a:t> Actual</a:t>
          </a:r>
          <a:endParaRPr lang="en-US" sz="2000" b="1">
            <a:solidFill>
              <a:schemeClr val="bg1">
                <a:lumMod val="95000"/>
              </a:schemeClr>
            </a:solidFill>
          </a:endParaRPr>
        </a:p>
      </xdr:txBody>
    </xdr:sp>
    <xdr:clientData/>
  </xdr:twoCellAnchor>
  <xdr:twoCellAnchor>
    <xdr:from>
      <xdr:col>2</xdr:col>
      <xdr:colOff>41414</xdr:colOff>
      <xdr:row>6</xdr:row>
      <xdr:rowOff>240195</xdr:rowOff>
    </xdr:from>
    <xdr:to>
      <xdr:col>2</xdr:col>
      <xdr:colOff>486103</xdr:colOff>
      <xdr:row>9</xdr:row>
      <xdr:rowOff>49695</xdr:rowOff>
    </xdr:to>
    <xdr:grpSp>
      <xdr:nvGrpSpPr>
        <xdr:cNvPr id="8" name="Group 7">
          <a:extLst>
            <a:ext uri="{FF2B5EF4-FFF2-40B4-BE49-F238E27FC236}">
              <a16:creationId xmlns:a16="http://schemas.microsoft.com/office/drawing/2014/main" id="{00000000-0008-0000-0500-000008000000}"/>
            </a:ext>
          </a:extLst>
        </xdr:cNvPr>
        <xdr:cNvGrpSpPr/>
      </xdr:nvGrpSpPr>
      <xdr:grpSpPr>
        <a:xfrm>
          <a:off x="881855" y="1573695"/>
          <a:ext cx="444689" cy="481853"/>
          <a:chOff x="879614" y="1573697"/>
          <a:chExt cx="444689" cy="476250"/>
        </a:xfrm>
      </xdr:grpSpPr>
      <mc:AlternateContent xmlns:mc="http://schemas.openxmlformats.org/markup-compatibility/2006">
        <mc:Choice xmlns:a14="http://schemas.microsoft.com/office/drawing/2010/main" Requires="a14">
          <xdr:sp macro="" textlink="">
            <xdr:nvSpPr>
              <xdr:cNvPr id="8195" name="LHorAct1" hidden="1">
                <a:extLst>
                  <a:ext uri="{63B3BB69-23CF-44E3-9099-C40C66FF867C}">
                    <a14:compatExt spid="_x0000_s8195"/>
                  </a:ext>
                  <a:ext uri="{FF2B5EF4-FFF2-40B4-BE49-F238E27FC236}">
                    <a16:creationId xmlns:a16="http://schemas.microsoft.com/office/drawing/2014/main" id="{00000000-0008-0000-0500-000003200000}"/>
                  </a:ext>
                </a:extLst>
              </xdr:cNvPr>
              <xdr:cNvSpPr/>
            </xdr:nvSpPr>
            <xdr:spPr bwMode="auto">
              <a:xfrm>
                <a:off x="879614" y="1573697"/>
                <a:ext cx="444689" cy="476250"/>
              </a:xfrm>
              <a:prstGeom prst="rect">
                <a:avLst/>
              </a:prstGeom>
              <a:noFill/>
              <a:ln>
                <a:noFill/>
              </a:ln>
              <a:extLst>
                <a:ext uri="{91240B29-F687-4F45-9708-019B960494DF}">
                  <a14:hiddenLine w="9525">
                    <a:noFill/>
                    <a:miter lim="800000"/>
                    <a:headEnd/>
                    <a:tailEnd/>
                  </a14:hiddenLine>
                </a:ext>
              </a:extLst>
            </xdr:spPr>
          </xdr:sp>
        </mc:Choice>
        <mc:Fallback/>
      </mc:AlternateContent>
      <xdr:pic macro="[0]!MarcarCita">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23924" y="1639301"/>
            <a:ext cx="365760" cy="33899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299546</xdr:colOff>
      <xdr:row>4</xdr:row>
      <xdr:rowOff>0</xdr:rowOff>
    </xdr:from>
    <xdr:to>
      <xdr:col>4</xdr:col>
      <xdr:colOff>643760</xdr:colOff>
      <xdr:row>5</xdr:row>
      <xdr:rowOff>159951</xdr:rowOff>
    </xdr:to>
    <xdr:grpSp>
      <xdr:nvGrpSpPr>
        <xdr:cNvPr id="12" name="Group 11">
          <a:extLst>
            <a:ext uri="{FF2B5EF4-FFF2-40B4-BE49-F238E27FC236}">
              <a16:creationId xmlns:a16="http://schemas.microsoft.com/office/drawing/2014/main" id="{00000000-0008-0000-0500-00000C000000}"/>
            </a:ext>
          </a:extLst>
        </xdr:cNvPr>
        <xdr:cNvGrpSpPr/>
      </xdr:nvGrpSpPr>
      <xdr:grpSpPr>
        <a:xfrm>
          <a:off x="3493222" y="952500"/>
          <a:ext cx="344214" cy="350451"/>
          <a:chOff x="3481301" y="952500"/>
          <a:chExt cx="344214" cy="350451"/>
        </a:xfrm>
      </xdr:grpSpPr>
      <mc:AlternateContent xmlns:mc="http://schemas.openxmlformats.org/markup-compatibility/2006">
        <mc:Choice xmlns:a14="http://schemas.microsoft.com/office/drawing/2010/main" Requires="a14">
          <xdr:sp macro="" textlink="">
            <xdr:nvSpPr>
              <xdr:cNvPr id="8196" name="LhorAct3" hidden="1">
                <a:extLst>
                  <a:ext uri="{63B3BB69-23CF-44E3-9099-C40C66FF867C}">
                    <a14:compatExt spid="_x0000_s8196"/>
                  </a:ext>
                  <a:ext uri="{FF2B5EF4-FFF2-40B4-BE49-F238E27FC236}">
                    <a16:creationId xmlns:a16="http://schemas.microsoft.com/office/drawing/2014/main" id="{00000000-0008-0000-0500-000004200000}"/>
                  </a:ext>
                </a:extLst>
              </xdr:cNvPr>
              <xdr:cNvSpPr/>
            </xdr:nvSpPr>
            <xdr:spPr bwMode="auto">
              <a:xfrm>
                <a:off x="3481301" y="952500"/>
                <a:ext cx="344214" cy="349468"/>
              </a:xfrm>
              <a:prstGeom prst="rect">
                <a:avLst/>
              </a:prstGeom>
              <a:noFill/>
              <a:ln>
                <a:noFill/>
              </a:ln>
              <a:extLst>
                <a:ext uri="{91240B29-F687-4F45-9708-019B960494DF}">
                  <a14:hiddenLine w="9525">
                    <a:noFill/>
                    <a:miter lim="800000"/>
                    <a:headEnd/>
                    <a:tailEnd/>
                  </a14:hiddenLine>
                </a:ext>
              </a:extLst>
            </xdr:spPr>
          </xdr:sp>
        </mc:Choice>
        <mc:Fallback/>
      </mc:AlternateContent>
      <xdr:pic macro="[0]!FiltroHoras">
        <xdr:nvPicPr>
          <xdr:cNvPr id="5" name="Picture 4" descr="Filtro de horas">
            <a:extLst>
              <a:ext uri="{FF2B5EF4-FFF2-40B4-BE49-F238E27FC236}">
                <a16:creationId xmlns:a16="http://schemas.microsoft.com/office/drawing/2014/main" id="{00000000-0008-0000-0500-000005000000}"/>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3"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3493222" y="987478"/>
            <a:ext cx="317183" cy="31547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292417</xdr:colOff>
      <xdr:row>5</xdr:row>
      <xdr:rowOff>169097</xdr:rowOff>
    </xdr:from>
    <xdr:to>
      <xdr:col>4</xdr:col>
      <xdr:colOff>637190</xdr:colOff>
      <xdr:row>7</xdr:row>
      <xdr:rowOff>32845</xdr:rowOff>
    </xdr:to>
    <xdr:grpSp>
      <xdr:nvGrpSpPr>
        <xdr:cNvPr id="13" name="Group 12">
          <a:extLst>
            <a:ext uri="{FF2B5EF4-FFF2-40B4-BE49-F238E27FC236}">
              <a16:creationId xmlns:a16="http://schemas.microsoft.com/office/drawing/2014/main" id="{00000000-0008-0000-0500-00000D000000}"/>
            </a:ext>
          </a:extLst>
        </xdr:cNvPr>
        <xdr:cNvGrpSpPr/>
      </xdr:nvGrpSpPr>
      <xdr:grpSpPr>
        <a:xfrm>
          <a:off x="3486093" y="1312097"/>
          <a:ext cx="344773" cy="345601"/>
          <a:chOff x="3474172" y="1312097"/>
          <a:chExt cx="344773" cy="342018"/>
        </a:xfrm>
      </xdr:grpSpPr>
      <mc:AlternateContent xmlns:mc="http://schemas.openxmlformats.org/markup-compatibility/2006">
        <mc:Choice xmlns:a14="http://schemas.microsoft.com/office/drawing/2010/main" Requires="a14">
          <xdr:sp macro="" textlink="">
            <xdr:nvSpPr>
              <xdr:cNvPr id="8199" name="LhorAct4"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3482614" y="1323645"/>
                <a:ext cx="336331" cy="330470"/>
              </a:xfrm>
              <a:prstGeom prst="rect">
                <a:avLst/>
              </a:prstGeom>
              <a:noFill/>
              <a:ln>
                <a:noFill/>
              </a:ln>
              <a:extLst>
                <a:ext uri="{91240B29-F687-4F45-9708-019B960494DF}">
                  <a14:hiddenLine w="9525">
                    <a:noFill/>
                    <a:miter lim="800000"/>
                    <a:headEnd/>
                    <a:tailEnd/>
                  </a14:hiddenLine>
                </a:ext>
              </a:extLst>
            </xdr:spPr>
          </xdr:sp>
        </mc:Choice>
        <mc:Fallback/>
      </mc:AlternateContent>
      <xdr:pic macro="[0]!AbreHorario">
        <xdr:nvPicPr>
          <xdr:cNvPr id="6" name="Picture 5" descr="Arrows, refresh, reload, update icon - Free download">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4"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3474172" y="1312097"/>
            <a:ext cx="317183" cy="322514"/>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8</xdr:col>
      <xdr:colOff>303158</xdr:colOff>
      <xdr:row>6</xdr:row>
      <xdr:rowOff>236482</xdr:rowOff>
    </xdr:from>
    <xdr:to>
      <xdr:col>8</xdr:col>
      <xdr:colOff>687705</xdr:colOff>
      <xdr:row>8</xdr:row>
      <xdr:rowOff>136207</xdr:rowOff>
    </xdr:to>
    <xdr:grpSp>
      <xdr:nvGrpSpPr>
        <xdr:cNvPr id="14" name="Group 13">
          <a:extLst>
            <a:ext uri="{FF2B5EF4-FFF2-40B4-BE49-F238E27FC236}">
              <a16:creationId xmlns:a16="http://schemas.microsoft.com/office/drawing/2014/main" id="{00000000-0008-0000-0500-00000E000000}"/>
            </a:ext>
          </a:extLst>
        </xdr:cNvPr>
        <xdr:cNvGrpSpPr/>
      </xdr:nvGrpSpPr>
      <xdr:grpSpPr>
        <a:xfrm>
          <a:off x="8203305" y="1569982"/>
          <a:ext cx="384547" cy="381578"/>
          <a:chOff x="8171167" y="1570004"/>
          <a:chExt cx="384547" cy="377750"/>
        </a:xfrm>
      </xdr:grpSpPr>
      <mc:AlternateContent xmlns:mc="http://schemas.openxmlformats.org/markup-compatibility/2006">
        <mc:Choice xmlns:a14="http://schemas.microsoft.com/office/drawing/2010/main" Requires="a14">
          <xdr:sp macro="" textlink="">
            <xdr:nvSpPr>
              <xdr:cNvPr id="8197" name="LhorAct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8171167" y="1570004"/>
                <a:ext cx="380014" cy="361127"/>
              </a:xfrm>
              <a:prstGeom prst="rect">
                <a:avLst/>
              </a:prstGeom>
              <a:noFill/>
              <a:ln>
                <a:noFill/>
              </a:ln>
              <a:extLst>
                <a:ext uri="{91240B29-F687-4F45-9708-019B960494DF}">
                  <a14:hiddenLine w="9525">
                    <a:noFill/>
                    <a:miter lim="800000"/>
                    <a:headEnd/>
                    <a:tailEnd/>
                  </a14:hiddenLine>
                </a:ext>
              </a:extLst>
            </xdr:spPr>
          </xdr:sp>
        </mc:Choice>
        <mc:Fallback/>
      </mc:AlternateContent>
      <xdr:pic macro="[0]!GuardaHorario">
        <xdr:nvPicPr>
          <xdr:cNvPr id="9" name="Picture 8" descr="Save icon - Free download on Iconfinder">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5"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189954" y="1576387"/>
            <a:ext cx="365760" cy="37136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530087</xdr:colOff>
      <xdr:row>6</xdr:row>
      <xdr:rowOff>223344</xdr:rowOff>
    </xdr:from>
    <xdr:to>
      <xdr:col>2</xdr:col>
      <xdr:colOff>978774</xdr:colOff>
      <xdr:row>9</xdr:row>
      <xdr:rowOff>66260</xdr:rowOff>
    </xdr:to>
    <xdr:grpSp>
      <xdr:nvGrpSpPr>
        <xdr:cNvPr id="11" name="Group 10">
          <a:extLst>
            <a:ext uri="{FF2B5EF4-FFF2-40B4-BE49-F238E27FC236}">
              <a16:creationId xmlns:a16="http://schemas.microsoft.com/office/drawing/2014/main" id="{00000000-0008-0000-0500-00000B000000}"/>
            </a:ext>
          </a:extLst>
        </xdr:cNvPr>
        <xdr:cNvGrpSpPr/>
      </xdr:nvGrpSpPr>
      <xdr:grpSpPr>
        <a:xfrm>
          <a:off x="1370528" y="1556844"/>
          <a:ext cx="448687" cy="515269"/>
          <a:chOff x="1368287" y="1556844"/>
          <a:chExt cx="448687" cy="509666"/>
        </a:xfrm>
      </xdr:grpSpPr>
      <mc:AlternateContent xmlns:mc="http://schemas.openxmlformats.org/markup-compatibility/2006">
        <mc:Choice xmlns:a14="http://schemas.microsoft.com/office/drawing/2010/main" Requires="a14">
          <xdr:sp macro="" textlink="">
            <xdr:nvSpPr>
              <xdr:cNvPr id="8198" name="LhorAct2"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1368287" y="1556844"/>
                <a:ext cx="448687" cy="509666"/>
              </a:xfrm>
              <a:prstGeom prst="rect">
                <a:avLst/>
              </a:prstGeom>
              <a:noFill/>
              <a:ln>
                <a:noFill/>
              </a:ln>
              <a:extLst>
                <a:ext uri="{91240B29-F687-4F45-9708-019B960494DF}">
                  <a14:hiddenLine w="9525">
                    <a:noFill/>
                    <a:miter lim="800000"/>
                    <a:headEnd/>
                    <a:tailEnd/>
                  </a14:hiddenLine>
                </a:ext>
              </a:extLst>
            </xdr:spPr>
          </xdr:sp>
        </mc:Choice>
        <mc:Fallback/>
      </mc:AlternateContent>
      <xdr:pic macro="[0]!BorrarMarcas">
        <xdr:nvPicPr>
          <xdr:cNvPr id="7" name="Picture 6" descr="Clear, erase, eraser, pencil, remove, text, undo icon - Download on  Iconfinder">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6"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409700" y="1616392"/>
            <a:ext cx="365760" cy="3657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0</xdr:col>
      <xdr:colOff>247650</xdr:colOff>
      <xdr:row>0</xdr:row>
      <xdr:rowOff>57150</xdr:rowOff>
    </xdr:from>
    <xdr:to>
      <xdr:col>0</xdr:col>
      <xdr:colOff>647700</xdr:colOff>
      <xdr:row>1</xdr:row>
      <xdr:rowOff>84193</xdr:rowOff>
    </xdr:to>
    <xdr:pic>
      <xdr:nvPicPr>
        <xdr:cNvPr id="4" name="Picture 3" descr="Calendar - Free Tools and utensils icons">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7"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47650" y="57150"/>
          <a:ext cx="400050" cy="4080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762000</xdr:colOff>
      <xdr:row>6</xdr:row>
      <xdr:rowOff>197069</xdr:rowOff>
    </xdr:from>
    <xdr:to>
      <xdr:col>8</xdr:col>
      <xdr:colOff>1129862</xdr:colOff>
      <xdr:row>8</xdr:row>
      <xdr:rowOff>132692</xdr:rowOff>
    </xdr:to>
    <xdr:grpSp>
      <xdr:nvGrpSpPr>
        <xdr:cNvPr id="15" name="Group 14">
          <a:extLst>
            <a:ext uri="{FF2B5EF4-FFF2-40B4-BE49-F238E27FC236}">
              <a16:creationId xmlns:a16="http://schemas.microsoft.com/office/drawing/2014/main" id="{00000000-0008-0000-0500-00000F000000}"/>
            </a:ext>
          </a:extLst>
        </xdr:cNvPr>
        <xdr:cNvGrpSpPr/>
      </xdr:nvGrpSpPr>
      <xdr:grpSpPr>
        <a:xfrm>
          <a:off x="8662147" y="1530569"/>
          <a:ext cx="367862" cy="417476"/>
          <a:chOff x="8633847" y="1530569"/>
          <a:chExt cx="367862" cy="413487"/>
        </a:xfrm>
      </xdr:grpSpPr>
      <mc:AlternateContent xmlns:mc="http://schemas.openxmlformats.org/markup-compatibility/2006">
        <mc:Choice xmlns:a14="http://schemas.microsoft.com/office/drawing/2010/main" Requires="a14">
          <xdr:sp macro="" textlink="">
            <xdr:nvSpPr>
              <xdr:cNvPr id="8200" name="LhorAct6" hidden="1">
                <a:extLst>
                  <a:ext uri="{63B3BB69-23CF-44E3-9099-C40C66FF867C}">
                    <a14:compatExt spid="_x0000_s8200"/>
                  </a:ext>
                  <a:ext uri="{FF2B5EF4-FFF2-40B4-BE49-F238E27FC236}">
                    <a16:creationId xmlns:a16="http://schemas.microsoft.com/office/drawing/2014/main" id="{00000000-0008-0000-0500-000008200000}"/>
                  </a:ext>
                </a:extLst>
              </xdr:cNvPr>
              <xdr:cNvSpPr/>
            </xdr:nvSpPr>
            <xdr:spPr bwMode="auto">
              <a:xfrm>
                <a:off x="8640744" y="1530569"/>
                <a:ext cx="360965" cy="413487"/>
              </a:xfrm>
              <a:prstGeom prst="rect">
                <a:avLst/>
              </a:prstGeom>
              <a:noFill/>
              <a:ln>
                <a:noFill/>
              </a:ln>
              <a:extLst>
                <a:ext uri="{91240B29-F687-4F45-9708-019B960494DF}">
                  <a14:hiddenLine w="9525">
                    <a:noFill/>
                    <a:miter lim="800000"/>
                    <a:headEnd/>
                    <a:tailEnd/>
                  </a14:hiddenLine>
                </a:ext>
              </a:extLst>
            </xdr:spPr>
          </xdr:sp>
        </mc:Choice>
        <mc:Fallback/>
      </mc:AlternateContent>
      <xdr:pic macro="[0]!limpiaHorario">
        <xdr:nvPicPr>
          <xdr:cNvPr id="10" name="Picture 9" descr="Delete Special Lineal color icon">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8"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633847" y="1552575"/>
            <a:ext cx="365760" cy="367374"/>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8</xdr:col>
      <xdr:colOff>295275</xdr:colOff>
      <xdr:row>3</xdr:row>
      <xdr:rowOff>57150</xdr:rowOff>
    </xdr:from>
    <xdr:to>
      <xdr:col>8</xdr:col>
      <xdr:colOff>704850</xdr:colOff>
      <xdr:row>5</xdr:row>
      <xdr:rowOff>85725</xdr:rowOff>
    </xdr:to>
    <xdr:pic macro="[0]!AgregaDoctor">
      <xdr:nvPicPr>
        <xdr:cNvPr id="17" name="Picture 16" descr="Free Doctor SVG, PNG Icon, Symbol. Download Image.">
          <a:extLst>
            <a:ext uri="{FF2B5EF4-FFF2-40B4-BE49-F238E27FC236}">
              <a16:creationId xmlns:a16="http://schemas.microsoft.com/office/drawing/2014/main" id="{00000000-0008-0000-0500-000011000000}"/>
            </a:ext>
          </a:extLst>
        </xdr:cNvPr>
        <xdr:cNvPicPr>
          <a:picLocks noChangeAspect="1" noChangeArrowheads="1"/>
        </xdr:cNvPicPr>
      </xdr:nvPicPr>
      <xdr:blipFill>
        <a:blip xmlns:r="http://schemas.openxmlformats.org/officeDocument/2006/relationships" r:embed="rId9"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162925" y="819150"/>
          <a:ext cx="409575" cy="409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685800</xdr:colOff>
      <xdr:row>3</xdr:row>
      <xdr:rowOff>38100</xdr:rowOff>
    </xdr:from>
    <xdr:to>
      <xdr:col>9</xdr:col>
      <xdr:colOff>19048</xdr:colOff>
      <xdr:row>5</xdr:row>
      <xdr:rowOff>141753</xdr:rowOff>
    </xdr:to>
    <xdr:grpSp>
      <xdr:nvGrpSpPr>
        <xdr:cNvPr id="18" name="Group 17">
          <a:extLst>
            <a:ext uri="{FF2B5EF4-FFF2-40B4-BE49-F238E27FC236}">
              <a16:creationId xmlns:a16="http://schemas.microsoft.com/office/drawing/2014/main" id="{00000000-0008-0000-0500-000012000000}"/>
            </a:ext>
          </a:extLst>
        </xdr:cNvPr>
        <xdr:cNvGrpSpPr/>
      </xdr:nvGrpSpPr>
      <xdr:grpSpPr>
        <a:xfrm>
          <a:off x="8585947" y="800100"/>
          <a:ext cx="509866" cy="484653"/>
          <a:chOff x="10006853" y="3473825"/>
          <a:chExt cx="538441" cy="563093"/>
        </a:xfrm>
      </xdr:grpSpPr>
      <xdr:pic macro="[0]!QuitarDoctor">
        <xdr:nvPicPr>
          <xdr:cNvPr id="19" name="Picture 18" descr="Free Doctor SVG, PNG Icon, Symbol. Download Image.">
            <a:extLst>
              <a:ext uri="{FF2B5EF4-FFF2-40B4-BE49-F238E27FC236}">
                <a16:creationId xmlns:a16="http://schemas.microsoft.com/office/drawing/2014/main" id="{00000000-0008-0000-0500-000013000000}"/>
              </a:ext>
            </a:extLst>
          </xdr:cNvPr>
          <xdr:cNvPicPr>
            <a:picLocks noChangeAspect="1" noChangeArrowheads="1"/>
          </xdr:cNvPicPr>
        </xdr:nvPicPr>
        <xdr:blipFill>
          <a:blip xmlns:r="http://schemas.openxmlformats.org/officeDocument/2006/relationships" r:embed="rId10"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0006853" y="3473825"/>
            <a:ext cx="481851" cy="481851"/>
          </a:xfrm>
          <a:prstGeom prst="rect">
            <a:avLst/>
          </a:prstGeom>
          <a:noFill/>
          <a:extLst>
            <a:ext uri="{909E8E84-426E-40DD-AFC4-6F175D3DCCD1}">
              <a14:hiddenFill xmlns:a14="http://schemas.microsoft.com/office/drawing/2010/main">
                <a:solidFill>
                  <a:srgbClr val="FFFFFF"/>
                </a:solidFill>
              </a14:hiddenFill>
            </a:ext>
          </a:extLst>
        </xdr:spPr>
      </xdr:pic>
      <xdr:pic macro="[0]!QuitarDoctor">
        <xdr:nvPicPr>
          <xdr:cNvPr id="20" name="Picture 19" descr="delete Vector Icons free download in SVG, PNG Format">
            <a:extLst>
              <a:ext uri="{FF2B5EF4-FFF2-40B4-BE49-F238E27FC236}">
                <a16:creationId xmlns:a16="http://schemas.microsoft.com/office/drawing/2014/main" id="{00000000-0008-0000-0500-000014000000}"/>
              </a:ext>
            </a:extLst>
          </xdr:cNvPr>
          <xdr:cNvPicPr>
            <a:picLocks noChangeAspect="1" noChangeArrowheads="1"/>
          </xdr:cNvPicPr>
        </xdr:nvPicPr>
        <xdr:blipFill>
          <a:blip xmlns:r="http://schemas.openxmlformats.org/officeDocument/2006/relationships" r:embed="rId11" cstate="print">
            <a:alphaModFix amt="50000"/>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0286393" y="3776382"/>
            <a:ext cx="258901" cy="26053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952500</xdr:colOff>
          <xdr:row>1</xdr:row>
          <xdr:rowOff>19050</xdr:rowOff>
        </xdr:from>
        <xdr:to>
          <xdr:col>10</xdr:col>
          <xdr:colOff>504825</xdr:colOff>
          <xdr:row>8</xdr:row>
          <xdr:rowOff>133350</xdr:rowOff>
        </xdr:to>
        <xdr:sp macro="" textlink="">
          <xdr:nvSpPr>
            <xdr:cNvPr id="9219" name="horarioCambio_BackLabel3" hidden="1">
              <a:extLst>
                <a:ext uri="{63B3BB69-23CF-44E3-9099-C40C66FF867C}">
                  <a14:compatExt spid="_x0000_s9219"/>
                </a:ext>
                <a:ext uri="{FF2B5EF4-FFF2-40B4-BE49-F238E27FC236}">
                  <a16:creationId xmlns:a16="http://schemas.microsoft.com/office/drawing/2014/main" id="{00000000-0008-0000-06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xdr:row>
          <xdr:rowOff>85725</xdr:rowOff>
        </xdr:from>
        <xdr:to>
          <xdr:col>6</xdr:col>
          <xdr:colOff>66675</xdr:colOff>
          <xdr:row>8</xdr:row>
          <xdr:rowOff>133350</xdr:rowOff>
        </xdr:to>
        <xdr:sp macro="" textlink="">
          <xdr:nvSpPr>
            <xdr:cNvPr id="9218" name="horarioCambioBackLabel2"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828675</xdr:colOff>
          <xdr:row>2</xdr:row>
          <xdr:rowOff>19050</xdr:rowOff>
        </xdr:from>
        <xdr:to>
          <xdr:col>2</xdr:col>
          <xdr:colOff>1076325</xdr:colOff>
          <xdr:row>9</xdr:row>
          <xdr:rowOff>152400</xdr:rowOff>
        </xdr:to>
        <xdr:sp macro="" textlink="">
          <xdr:nvSpPr>
            <xdr:cNvPr id="9217" name="horarioCambio_BackLabel"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5715</xdr:colOff>
      <xdr:row>0</xdr:row>
      <xdr:rowOff>11430</xdr:rowOff>
    </xdr:from>
    <xdr:to>
      <xdr:col>7</xdr:col>
      <xdr:colOff>485775</xdr:colOff>
      <xdr:row>1</xdr:row>
      <xdr:rowOff>0</xdr:rowOff>
    </xdr:to>
    <xdr:sp macro="" textlink="">
      <xdr:nvSpPr>
        <xdr:cNvPr id="2" name="Rectangle 1">
          <a:hlinkClick xmlns:r="http://schemas.openxmlformats.org/officeDocument/2006/relationships" r:id="rId1" tooltip="Regresar al Inicio"/>
          <a:extLst>
            <a:ext uri="{FF2B5EF4-FFF2-40B4-BE49-F238E27FC236}">
              <a16:creationId xmlns:a16="http://schemas.microsoft.com/office/drawing/2014/main" id="{00000000-0008-0000-0600-000002000000}"/>
            </a:ext>
          </a:extLst>
        </xdr:cNvPr>
        <xdr:cNvSpPr/>
      </xdr:nvSpPr>
      <xdr:spPr>
        <a:xfrm>
          <a:off x="5715" y="11430"/>
          <a:ext cx="7176135" cy="36957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bg1">
                  <a:lumMod val="95000"/>
                </a:schemeClr>
              </a:solidFill>
            </a:rPr>
            <a:t>	Cambio</a:t>
          </a:r>
          <a:r>
            <a:rPr lang="en-US" sz="2000" b="1" baseline="0">
              <a:solidFill>
                <a:schemeClr val="bg1">
                  <a:lumMod val="95000"/>
                </a:schemeClr>
              </a:solidFill>
            </a:rPr>
            <a:t> de Horario</a:t>
          </a:r>
        </a:p>
        <a:p>
          <a:pPr algn="l"/>
          <a:endParaRPr lang="en-US" sz="2000" b="1">
            <a:solidFill>
              <a:schemeClr val="bg1">
                <a:lumMod val="95000"/>
              </a:schemeClr>
            </a:solidFill>
          </a:endParaRPr>
        </a:p>
      </xdr:txBody>
    </xdr:sp>
    <xdr:clientData/>
  </xdr:twoCellAnchor>
  <xdr:twoCellAnchor>
    <xdr:from>
      <xdr:col>2</xdr:col>
      <xdr:colOff>47625</xdr:colOff>
      <xdr:row>6</xdr:row>
      <xdr:rowOff>247650</xdr:rowOff>
    </xdr:from>
    <xdr:to>
      <xdr:col>2</xdr:col>
      <xdr:colOff>495300</xdr:colOff>
      <xdr:row>8</xdr:row>
      <xdr:rowOff>180975</xdr:rowOff>
    </xdr:to>
    <xdr:grpSp>
      <xdr:nvGrpSpPr>
        <xdr:cNvPr id="9" name="Group 8">
          <a:extLst>
            <a:ext uri="{FF2B5EF4-FFF2-40B4-BE49-F238E27FC236}">
              <a16:creationId xmlns:a16="http://schemas.microsoft.com/office/drawing/2014/main" id="{00000000-0008-0000-0600-000009000000}"/>
            </a:ext>
          </a:extLst>
        </xdr:cNvPr>
        <xdr:cNvGrpSpPr/>
      </xdr:nvGrpSpPr>
      <xdr:grpSpPr>
        <a:xfrm>
          <a:off x="888066" y="1625974"/>
          <a:ext cx="447675" cy="415177"/>
          <a:chOff x="885825" y="1630134"/>
          <a:chExt cx="447675" cy="412295"/>
        </a:xfrm>
      </xdr:grpSpPr>
      <mc:AlternateContent xmlns:mc="http://schemas.openxmlformats.org/markup-compatibility/2006">
        <mc:Choice xmlns:a14="http://schemas.microsoft.com/office/drawing/2010/main" Requires="a14">
          <xdr:sp macro="" textlink="">
            <xdr:nvSpPr>
              <xdr:cNvPr id="9220" name="LHorCam1" hidden="1">
                <a:extLst>
                  <a:ext uri="{63B3BB69-23CF-44E3-9099-C40C66FF867C}">
                    <a14:compatExt spid="_x0000_s9220"/>
                  </a:ext>
                  <a:ext uri="{FF2B5EF4-FFF2-40B4-BE49-F238E27FC236}">
                    <a16:creationId xmlns:a16="http://schemas.microsoft.com/office/drawing/2014/main" id="{00000000-0008-0000-0600-000004240000}"/>
                  </a:ext>
                </a:extLst>
              </xdr:cNvPr>
              <xdr:cNvSpPr/>
            </xdr:nvSpPr>
            <xdr:spPr bwMode="auto">
              <a:xfrm>
                <a:off x="885825" y="1630134"/>
                <a:ext cx="447675" cy="412295"/>
              </a:xfrm>
              <a:prstGeom prst="rect">
                <a:avLst/>
              </a:prstGeom>
              <a:noFill/>
              <a:ln>
                <a:noFill/>
              </a:ln>
              <a:extLst>
                <a:ext uri="{91240B29-F687-4F45-9708-019B960494DF}">
                  <a14:hiddenLine w="9525">
                    <a:noFill/>
                    <a:miter lim="800000"/>
                    <a:headEnd/>
                    <a:tailEnd/>
                  </a14:hiddenLine>
                </a:ext>
              </a:extLst>
            </xdr:spPr>
          </xdr:sp>
        </mc:Choice>
        <mc:Fallback/>
      </mc:AlternateContent>
      <xdr:pic macro="[0]!MarcarCita">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23924" y="1691008"/>
            <a:ext cx="365760" cy="33899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247650</xdr:colOff>
      <xdr:row>3</xdr:row>
      <xdr:rowOff>161925</xdr:rowOff>
    </xdr:from>
    <xdr:to>
      <xdr:col>4</xdr:col>
      <xdr:colOff>695325</xdr:colOff>
      <xdr:row>5</xdr:row>
      <xdr:rowOff>133350</xdr:rowOff>
    </xdr:to>
    <xdr:grpSp>
      <xdr:nvGrpSpPr>
        <xdr:cNvPr id="14" name="Group 13">
          <a:extLst>
            <a:ext uri="{FF2B5EF4-FFF2-40B4-BE49-F238E27FC236}">
              <a16:creationId xmlns:a16="http://schemas.microsoft.com/office/drawing/2014/main" id="{00000000-0008-0000-0600-00000E000000}"/>
            </a:ext>
          </a:extLst>
        </xdr:cNvPr>
        <xdr:cNvGrpSpPr/>
      </xdr:nvGrpSpPr>
      <xdr:grpSpPr>
        <a:xfrm>
          <a:off x="3441326" y="968749"/>
          <a:ext cx="447675" cy="352425"/>
          <a:chOff x="3426279" y="972911"/>
          <a:chExt cx="447675" cy="352425"/>
        </a:xfrm>
      </xdr:grpSpPr>
      <mc:AlternateContent xmlns:mc="http://schemas.openxmlformats.org/markup-compatibility/2006">
        <mc:Choice xmlns:a14="http://schemas.microsoft.com/office/drawing/2010/main" Requires="a14">
          <xdr:sp macro="" textlink="">
            <xdr:nvSpPr>
              <xdr:cNvPr id="9222" name="LHorCam3" hidden="1">
                <a:extLst>
                  <a:ext uri="{63B3BB69-23CF-44E3-9099-C40C66FF867C}">
                    <a14:compatExt spid="_x0000_s9222"/>
                  </a:ext>
                  <a:ext uri="{FF2B5EF4-FFF2-40B4-BE49-F238E27FC236}">
                    <a16:creationId xmlns:a16="http://schemas.microsoft.com/office/drawing/2014/main" id="{00000000-0008-0000-0600-000006240000}"/>
                  </a:ext>
                </a:extLst>
              </xdr:cNvPr>
              <xdr:cNvSpPr/>
            </xdr:nvSpPr>
            <xdr:spPr bwMode="auto">
              <a:xfrm>
                <a:off x="3426279" y="972911"/>
                <a:ext cx="447675" cy="352425"/>
              </a:xfrm>
              <a:prstGeom prst="rect">
                <a:avLst/>
              </a:prstGeom>
              <a:noFill/>
              <a:ln>
                <a:noFill/>
              </a:ln>
              <a:extLst>
                <a:ext uri="{91240B29-F687-4F45-9708-019B960494DF}">
                  <a14:hiddenLine w="9525">
                    <a:noFill/>
                    <a:miter lim="800000"/>
                    <a:headEnd/>
                    <a:tailEnd/>
                  </a14:hiddenLine>
                </a:ext>
              </a:extLst>
            </xdr:spPr>
          </xdr:sp>
        </mc:Choice>
        <mc:Fallback/>
      </mc:AlternateContent>
      <xdr:pic macro="[0]!FiltroHoras">
        <xdr:nvPicPr>
          <xdr:cNvPr id="4" name="Picture 3" descr="Filtro de horas">
            <a:extLst>
              <a:ext uri="{FF2B5EF4-FFF2-40B4-BE49-F238E27FC236}">
                <a16:creationId xmlns:a16="http://schemas.microsoft.com/office/drawing/2014/main" id="{00000000-0008-0000-0600-000004000000}"/>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3"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3490096" y="988839"/>
            <a:ext cx="317183" cy="31547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257175</xdr:colOff>
      <xdr:row>5</xdr:row>
      <xdr:rowOff>169097</xdr:rowOff>
    </xdr:from>
    <xdr:to>
      <xdr:col>4</xdr:col>
      <xdr:colOff>704850</xdr:colOff>
      <xdr:row>7</xdr:row>
      <xdr:rowOff>57150</xdr:rowOff>
    </xdr:to>
    <xdr:grpSp>
      <xdr:nvGrpSpPr>
        <xdr:cNvPr id="15" name="Group 14">
          <a:extLst>
            <a:ext uri="{FF2B5EF4-FFF2-40B4-BE49-F238E27FC236}">
              <a16:creationId xmlns:a16="http://schemas.microsoft.com/office/drawing/2014/main" id="{00000000-0008-0000-0600-00000F000000}"/>
            </a:ext>
          </a:extLst>
        </xdr:cNvPr>
        <xdr:cNvGrpSpPr/>
      </xdr:nvGrpSpPr>
      <xdr:grpSpPr>
        <a:xfrm>
          <a:off x="3450851" y="1356921"/>
          <a:ext cx="447675" cy="369905"/>
          <a:chOff x="3435804" y="1361083"/>
          <a:chExt cx="447675" cy="367021"/>
        </a:xfrm>
      </xdr:grpSpPr>
      <mc:AlternateContent xmlns:mc="http://schemas.openxmlformats.org/markup-compatibility/2006">
        <mc:Choice xmlns:a14="http://schemas.microsoft.com/office/drawing/2010/main" Requires="a14">
          <xdr:sp macro="" textlink="">
            <xdr:nvSpPr>
              <xdr:cNvPr id="9223" name="LHorCam4" hidden="1">
                <a:extLst>
                  <a:ext uri="{63B3BB69-23CF-44E3-9099-C40C66FF867C}">
                    <a14:compatExt spid="_x0000_s9223"/>
                  </a:ext>
                  <a:ext uri="{FF2B5EF4-FFF2-40B4-BE49-F238E27FC236}">
                    <a16:creationId xmlns:a16="http://schemas.microsoft.com/office/drawing/2014/main" id="{00000000-0008-0000-0600-000007240000}"/>
                  </a:ext>
                </a:extLst>
              </xdr:cNvPr>
              <xdr:cNvSpPr/>
            </xdr:nvSpPr>
            <xdr:spPr bwMode="auto">
              <a:xfrm>
                <a:off x="3435804" y="1372957"/>
                <a:ext cx="447675" cy="355147"/>
              </a:xfrm>
              <a:prstGeom prst="rect">
                <a:avLst/>
              </a:prstGeom>
              <a:noFill/>
              <a:ln>
                <a:noFill/>
              </a:ln>
              <a:extLst>
                <a:ext uri="{91240B29-F687-4F45-9708-019B960494DF}">
                  <a14:hiddenLine w="9525">
                    <a:noFill/>
                    <a:miter lim="800000"/>
                    <a:headEnd/>
                    <a:tailEnd/>
                  </a14:hiddenLine>
                </a:ext>
              </a:extLst>
            </xdr:spPr>
          </xdr:sp>
        </mc:Choice>
        <mc:Fallback/>
      </mc:AlternateContent>
      <xdr:pic macro="[0]!AbreHorario">
        <xdr:nvPicPr>
          <xdr:cNvPr id="5" name="Picture 4" descr="Arrows, refresh, reload, update icon - Free download">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4"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3471046" y="1361083"/>
            <a:ext cx="317183" cy="32320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8</xdr:col>
      <xdr:colOff>276225</xdr:colOff>
      <xdr:row>5</xdr:row>
      <xdr:rowOff>152400</xdr:rowOff>
    </xdr:from>
    <xdr:to>
      <xdr:col>8</xdr:col>
      <xdr:colOff>723900</xdr:colOff>
      <xdr:row>8</xdr:row>
      <xdr:rowOff>76200</xdr:rowOff>
    </xdr:to>
    <xdr:grpSp>
      <xdr:nvGrpSpPr>
        <xdr:cNvPr id="16" name="Group 15">
          <a:extLst>
            <a:ext uri="{FF2B5EF4-FFF2-40B4-BE49-F238E27FC236}">
              <a16:creationId xmlns:a16="http://schemas.microsoft.com/office/drawing/2014/main" id="{00000000-0008-0000-0600-000010000000}"/>
            </a:ext>
          </a:extLst>
        </xdr:cNvPr>
        <xdr:cNvGrpSpPr/>
      </xdr:nvGrpSpPr>
      <xdr:grpSpPr>
        <a:xfrm>
          <a:off x="8176372" y="1340224"/>
          <a:ext cx="447675" cy="596152"/>
          <a:chOff x="8135711" y="1344392"/>
          <a:chExt cx="447675" cy="593271"/>
        </a:xfrm>
      </xdr:grpSpPr>
      <mc:AlternateContent xmlns:mc="http://schemas.openxmlformats.org/markup-compatibility/2006">
        <mc:Choice xmlns:a14="http://schemas.microsoft.com/office/drawing/2010/main" Requires="a14">
          <xdr:sp macro="" textlink="">
            <xdr:nvSpPr>
              <xdr:cNvPr id="9224" name="LHorCam5" hidden="1">
                <a:extLst>
                  <a:ext uri="{63B3BB69-23CF-44E3-9099-C40C66FF867C}">
                    <a14:compatExt spid="_x0000_s9224"/>
                  </a:ext>
                  <a:ext uri="{FF2B5EF4-FFF2-40B4-BE49-F238E27FC236}">
                    <a16:creationId xmlns:a16="http://schemas.microsoft.com/office/drawing/2014/main" id="{00000000-0008-0000-0600-000008240000}"/>
                  </a:ext>
                </a:extLst>
              </xdr:cNvPr>
              <xdr:cNvSpPr/>
            </xdr:nvSpPr>
            <xdr:spPr bwMode="auto">
              <a:xfrm>
                <a:off x="8135711" y="1344392"/>
                <a:ext cx="447675" cy="593271"/>
              </a:xfrm>
              <a:prstGeom prst="rect">
                <a:avLst/>
              </a:prstGeom>
              <a:noFill/>
              <a:ln>
                <a:noFill/>
              </a:ln>
              <a:extLst>
                <a:ext uri="{91240B29-F687-4F45-9708-019B960494DF}">
                  <a14:hiddenLine w="9525">
                    <a:noFill/>
                    <a:miter lim="800000"/>
                    <a:headEnd/>
                    <a:tailEnd/>
                  </a14:hiddenLine>
                </a:ext>
              </a:extLst>
            </xdr:spPr>
          </xdr:sp>
        </mc:Choice>
        <mc:Fallback/>
      </mc:AlternateContent>
      <xdr:pic macro="[0]!GuardaHorario">
        <xdr:nvPicPr>
          <xdr:cNvPr id="6" name="Picture 5" descr="Save icon - Free download on Iconfinder">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5"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200481" y="1530123"/>
            <a:ext cx="365760" cy="37229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514350</xdr:colOff>
      <xdr:row>7</xdr:row>
      <xdr:rowOff>0</xdr:rowOff>
    </xdr:from>
    <xdr:to>
      <xdr:col>2</xdr:col>
      <xdr:colOff>962025</xdr:colOff>
      <xdr:row>8</xdr:row>
      <xdr:rowOff>181927</xdr:rowOff>
    </xdr:to>
    <xdr:grpSp>
      <xdr:nvGrpSpPr>
        <xdr:cNvPr id="10" name="Group 9">
          <a:extLst>
            <a:ext uri="{FF2B5EF4-FFF2-40B4-BE49-F238E27FC236}">
              <a16:creationId xmlns:a16="http://schemas.microsoft.com/office/drawing/2014/main" id="{00000000-0008-0000-0600-00000A000000}"/>
            </a:ext>
          </a:extLst>
        </xdr:cNvPr>
        <xdr:cNvGrpSpPr/>
      </xdr:nvGrpSpPr>
      <xdr:grpSpPr>
        <a:xfrm>
          <a:off x="1354791" y="1669676"/>
          <a:ext cx="447675" cy="372427"/>
          <a:chOff x="1352550" y="1670957"/>
          <a:chExt cx="447675" cy="372427"/>
        </a:xfrm>
      </xdr:grpSpPr>
      <mc:AlternateContent xmlns:mc="http://schemas.openxmlformats.org/markup-compatibility/2006">
        <mc:Choice xmlns:a14="http://schemas.microsoft.com/office/drawing/2010/main" Requires="a14">
          <xdr:sp macro="" textlink="">
            <xdr:nvSpPr>
              <xdr:cNvPr id="9221" name="LHorCam2" hidden="1">
                <a:extLst>
                  <a:ext uri="{63B3BB69-23CF-44E3-9099-C40C66FF867C}">
                    <a14:compatExt spid="_x0000_s9221"/>
                  </a:ext>
                  <a:ext uri="{FF2B5EF4-FFF2-40B4-BE49-F238E27FC236}">
                    <a16:creationId xmlns:a16="http://schemas.microsoft.com/office/drawing/2014/main" id="{00000000-0008-0000-0600-000005240000}"/>
                  </a:ext>
                </a:extLst>
              </xdr:cNvPr>
              <xdr:cNvSpPr/>
            </xdr:nvSpPr>
            <xdr:spPr bwMode="auto">
              <a:xfrm>
                <a:off x="1352550" y="1670957"/>
                <a:ext cx="447675" cy="352425"/>
              </a:xfrm>
              <a:prstGeom prst="rect">
                <a:avLst/>
              </a:prstGeom>
              <a:noFill/>
              <a:ln>
                <a:noFill/>
              </a:ln>
              <a:extLst>
                <a:ext uri="{91240B29-F687-4F45-9708-019B960494DF}">
                  <a14:hiddenLine w="9525">
                    <a:noFill/>
                    <a:miter lim="800000"/>
                    <a:headEnd/>
                    <a:tailEnd/>
                  </a14:hiddenLine>
                </a:ext>
              </a:extLst>
            </xdr:spPr>
          </xdr:sp>
        </mc:Choice>
        <mc:Fallback/>
      </mc:AlternateContent>
      <xdr:pic macro="[0]!BorrarMarcas">
        <xdr:nvPicPr>
          <xdr:cNvPr id="7" name="Picture 6" descr="Clear, erase, eraser, pencil, remove, text, undo icon - Download on  Iconfinder">
            <a:extLst>
              <a:ext uri="{FF2B5EF4-FFF2-40B4-BE49-F238E27FC236}">
                <a16:creationId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6"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371600" y="1677624"/>
            <a:ext cx="365760" cy="3657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228600</xdr:colOff>
      <xdr:row>0</xdr:row>
      <xdr:rowOff>114300</xdr:rowOff>
    </xdr:from>
    <xdr:to>
      <xdr:col>0</xdr:col>
      <xdr:colOff>720091</xdr:colOff>
      <xdr:row>1</xdr:row>
      <xdr:rowOff>138678</xdr:rowOff>
    </xdr:to>
    <xdr:grpSp>
      <xdr:nvGrpSpPr>
        <xdr:cNvPr id="11" name="Group 10">
          <a:extLst>
            <a:ext uri="{FF2B5EF4-FFF2-40B4-BE49-F238E27FC236}">
              <a16:creationId xmlns:a16="http://schemas.microsoft.com/office/drawing/2014/main" id="{00000000-0008-0000-0600-00000B000000}"/>
            </a:ext>
          </a:extLst>
        </xdr:cNvPr>
        <xdr:cNvGrpSpPr/>
      </xdr:nvGrpSpPr>
      <xdr:grpSpPr>
        <a:xfrm>
          <a:off x="228600" y="114300"/>
          <a:ext cx="491491" cy="405378"/>
          <a:chOff x="695325" y="1971675"/>
          <a:chExt cx="491491" cy="400050"/>
        </a:xfrm>
      </xdr:grpSpPr>
      <xdr:pic>
        <xdr:nvPicPr>
          <xdr:cNvPr id="12" name="Picture 11" descr="Calendar - Free Tools and utensils icons">
            <a:extLst>
              <a:ext uri="{FF2B5EF4-FFF2-40B4-BE49-F238E27FC236}">
                <a16:creationId xmlns:a16="http://schemas.microsoft.com/office/drawing/2014/main" id="{00000000-0008-0000-0600-00000C000000}"/>
              </a:ext>
            </a:extLst>
          </xdr:cNvPr>
          <xdr:cNvPicPr>
            <a:picLocks noChangeAspect="1" noChangeArrowheads="1"/>
          </xdr:cNvPicPr>
        </xdr:nvPicPr>
        <xdr:blipFill>
          <a:blip xmlns:r="http://schemas.openxmlformats.org/officeDocument/2006/relationships" r:embed="rId7"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695325" y="1971675"/>
            <a:ext cx="400050" cy="40005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 name="Picture 12" descr="Delta - Free shapes icons">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8"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977265" y="2198371"/>
            <a:ext cx="209551" cy="17145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8</xdr:col>
      <xdr:colOff>742950</xdr:colOff>
      <xdr:row>5</xdr:row>
      <xdr:rowOff>152401</xdr:rowOff>
    </xdr:from>
    <xdr:to>
      <xdr:col>9</xdr:col>
      <xdr:colOff>38100</xdr:colOff>
      <xdr:row>8</xdr:row>
      <xdr:rowOff>95251</xdr:rowOff>
    </xdr:to>
    <xdr:grpSp>
      <xdr:nvGrpSpPr>
        <xdr:cNvPr id="17" name="Group 16">
          <a:extLst>
            <a:ext uri="{FF2B5EF4-FFF2-40B4-BE49-F238E27FC236}">
              <a16:creationId xmlns:a16="http://schemas.microsoft.com/office/drawing/2014/main" id="{00000000-0008-0000-0600-000011000000}"/>
            </a:ext>
          </a:extLst>
        </xdr:cNvPr>
        <xdr:cNvGrpSpPr/>
      </xdr:nvGrpSpPr>
      <xdr:grpSpPr>
        <a:xfrm>
          <a:off x="8643097" y="1340225"/>
          <a:ext cx="471768" cy="615202"/>
          <a:chOff x="8602436" y="1344383"/>
          <a:chExt cx="465420" cy="612321"/>
        </a:xfrm>
      </xdr:grpSpPr>
      <mc:AlternateContent xmlns:mc="http://schemas.openxmlformats.org/markup-compatibility/2006">
        <mc:Choice xmlns:a14="http://schemas.microsoft.com/office/drawing/2010/main" Requires="a14">
          <xdr:sp macro="" textlink="">
            <xdr:nvSpPr>
              <xdr:cNvPr id="9225" name="LHorCam6" hidden="1">
                <a:extLst>
                  <a:ext uri="{63B3BB69-23CF-44E3-9099-C40C66FF867C}">
                    <a14:compatExt spid="_x0000_s9225"/>
                  </a:ext>
                  <a:ext uri="{FF2B5EF4-FFF2-40B4-BE49-F238E27FC236}">
                    <a16:creationId xmlns:a16="http://schemas.microsoft.com/office/drawing/2014/main" id="{00000000-0008-0000-0600-000009240000}"/>
                  </a:ext>
                </a:extLst>
              </xdr:cNvPr>
              <xdr:cNvSpPr/>
            </xdr:nvSpPr>
            <xdr:spPr bwMode="auto">
              <a:xfrm>
                <a:off x="8621541" y="1344383"/>
                <a:ext cx="446315" cy="612321"/>
              </a:xfrm>
              <a:prstGeom prst="rect">
                <a:avLst/>
              </a:prstGeom>
              <a:noFill/>
              <a:ln>
                <a:noFill/>
              </a:ln>
              <a:extLst>
                <a:ext uri="{91240B29-F687-4F45-9708-019B960494DF}">
                  <a14:hiddenLine w="9525">
                    <a:noFill/>
                    <a:miter lim="800000"/>
                    <a:headEnd/>
                    <a:tailEnd/>
                  </a14:hiddenLine>
                </a:ext>
              </a:extLst>
            </xdr:spPr>
          </xdr:sp>
        </mc:Choice>
        <mc:Fallback/>
      </mc:AlternateContent>
      <xdr:pic macro="[0]!limpiaHorario">
        <xdr:nvPicPr>
          <xdr:cNvPr id="8" name="Picture 7" descr="Delete Special Lineal color icon">
            <a:extLst>
              <a:ext uri="{FF2B5EF4-FFF2-40B4-BE49-F238E27FC236}">
                <a16:creationId xmlns:a16="http://schemas.microsoft.com/office/drawing/2014/main" id="{00000000-0008-0000-0600-000008000000}"/>
              </a:ext>
            </a:extLst>
          </xdr:cNvPr>
          <xdr:cNvPicPr>
            <a:picLocks noChangeAspect="1" noChangeArrowheads="1"/>
          </xdr:cNvPicPr>
        </xdr:nvPicPr>
        <xdr:blipFill>
          <a:blip xmlns:r="http://schemas.openxmlformats.org/officeDocument/2006/relationships" r:embed="rId9"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602436" y="1506311"/>
            <a:ext cx="365760" cy="36848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8</xdr:col>
      <xdr:colOff>291355</xdr:colOff>
      <xdr:row>3</xdr:row>
      <xdr:rowOff>33618</xdr:rowOff>
    </xdr:from>
    <xdr:to>
      <xdr:col>8</xdr:col>
      <xdr:colOff>700930</xdr:colOff>
      <xdr:row>5</xdr:row>
      <xdr:rowOff>62193</xdr:rowOff>
    </xdr:to>
    <xdr:pic macro="[0]!AgregaDoctor">
      <xdr:nvPicPr>
        <xdr:cNvPr id="18" name="Picture 17" descr="Free Doctor SVG, PNG Icon, Symbol. Download Image.">
          <a:extLst>
            <a:ext uri="{FF2B5EF4-FFF2-40B4-BE49-F238E27FC236}">
              <a16:creationId xmlns:a16="http://schemas.microsoft.com/office/drawing/2014/main" id="{00000000-0008-0000-0600-000012000000}"/>
            </a:ext>
          </a:extLst>
        </xdr:cNvPr>
        <xdr:cNvPicPr>
          <a:picLocks noChangeAspect="1" noChangeArrowheads="1"/>
        </xdr:cNvPicPr>
      </xdr:nvPicPr>
      <xdr:blipFill>
        <a:blip xmlns:r="http://schemas.openxmlformats.org/officeDocument/2006/relationships" r:embed="rId10"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191502" y="840442"/>
          <a:ext cx="409575" cy="409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683559</xdr:colOff>
      <xdr:row>3</xdr:row>
      <xdr:rowOff>22414</xdr:rowOff>
    </xdr:from>
    <xdr:to>
      <xdr:col>9</xdr:col>
      <xdr:colOff>11764</xdr:colOff>
      <xdr:row>5</xdr:row>
      <xdr:rowOff>126067</xdr:rowOff>
    </xdr:to>
    <xdr:grpSp>
      <xdr:nvGrpSpPr>
        <xdr:cNvPr id="27" name="Group 26">
          <a:extLst>
            <a:ext uri="{FF2B5EF4-FFF2-40B4-BE49-F238E27FC236}">
              <a16:creationId xmlns:a16="http://schemas.microsoft.com/office/drawing/2014/main" id="{00000000-0008-0000-0600-00001B000000}"/>
            </a:ext>
          </a:extLst>
        </xdr:cNvPr>
        <xdr:cNvGrpSpPr/>
      </xdr:nvGrpSpPr>
      <xdr:grpSpPr>
        <a:xfrm>
          <a:off x="8583706" y="829238"/>
          <a:ext cx="504823" cy="484653"/>
          <a:chOff x="10006853" y="3473825"/>
          <a:chExt cx="538441" cy="563093"/>
        </a:xfrm>
      </xdr:grpSpPr>
      <xdr:pic macro="[0]!QuitarDoctor">
        <xdr:nvPicPr>
          <xdr:cNvPr id="20" name="Picture 19" descr="Free Doctor SVG, PNG Icon, Symbol. Download Image.">
            <a:extLst>
              <a:ext uri="{FF2B5EF4-FFF2-40B4-BE49-F238E27FC236}">
                <a16:creationId xmlns:a16="http://schemas.microsoft.com/office/drawing/2014/main" id="{00000000-0008-0000-0600-000014000000}"/>
              </a:ext>
            </a:extLst>
          </xdr:cNvPr>
          <xdr:cNvPicPr>
            <a:picLocks noChangeAspect="1" noChangeArrowheads="1"/>
          </xdr:cNvPicPr>
        </xdr:nvPicPr>
        <xdr:blipFill>
          <a:blip xmlns:r="http://schemas.openxmlformats.org/officeDocument/2006/relationships" r:embed="rId11"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0006853" y="3473825"/>
            <a:ext cx="481851" cy="481851"/>
          </a:xfrm>
          <a:prstGeom prst="rect">
            <a:avLst/>
          </a:prstGeom>
          <a:noFill/>
          <a:extLst>
            <a:ext uri="{909E8E84-426E-40DD-AFC4-6F175D3DCCD1}">
              <a14:hiddenFill xmlns:a14="http://schemas.microsoft.com/office/drawing/2010/main">
                <a:solidFill>
                  <a:srgbClr val="FFFFFF"/>
                </a:solidFill>
              </a14:hiddenFill>
            </a:ext>
          </a:extLst>
        </xdr:spPr>
      </xdr:pic>
      <xdr:pic macro="[0]!QuitarDoctor">
        <xdr:nvPicPr>
          <xdr:cNvPr id="26" name="Picture 25" descr="delete Vector Icons free download in SVG, PNG Format">
            <a:extLst>
              <a:ext uri="{FF2B5EF4-FFF2-40B4-BE49-F238E27FC236}">
                <a16:creationId xmlns:a16="http://schemas.microsoft.com/office/drawing/2014/main" id="{00000000-0008-0000-0600-00001A000000}"/>
              </a:ext>
            </a:extLst>
          </xdr:cNvPr>
          <xdr:cNvPicPr>
            <a:picLocks noChangeAspect="1" noChangeArrowheads="1"/>
          </xdr:cNvPicPr>
        </xdr:nvPicPr>
        <xdr:blipFill>
          <a:blip xmlns:r="http://schemas.openxmlformats.org/officeDocument/2006/relationships" r:embed="rId12" cstate="print">
            <a:alphaModFix amt="50000"/>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0286393" y="3776382"/>
            <a:ext cx="258901" cy="26053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1</xdr:row>
          <xdr:rowOff>66675</xdr:rowOff>
        </xdr:from>
        <xdr:to>
          <xdr:col>12</xdr:col>
          <xdr:colOff>180975</xdr:colOff>
          <xdr:row>9</xdr:row>
          <xdr:rowOff>304800</xdr:rowOff>
        </xdr:to>
        <xdr:sp macro="" textlink="">
          <xdr:nvSpPr>
            <xdr:cNvPr id="10241" name="FechaMax_Backlabel"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95250</xdr:colOff>
      <xdr:row>0</xdr:row>
      <xdr:rowOff>38100</xdr:rowOff>
    </xdr:from>
    <xdr:to>
      <xdr:col>0</xdr:col>
      <xdr:colOff>600431</xdr:colOff>
      <xdr:row>1</xdr:row>
      <xdr:rowOff>126521</xdr:rowOff>
    </xdr:to>
    <xdr:grpSp>
      <xdr:nvGrpSpPr>
        <xdr:cNvPr id="2" name="Group 1">
          <a:extLst>
            <a:ext uri="{FF2B5EF4-FFF2-40B4-BE49-F238E27FC236}">
              <a16:creationId xmlns:a16="http://schemas.microsoft.com/office/drawing/2014/main" id="{00000000-0008-0000-0800-000002000000}"/>
            </a:ext>
          </a:extLst>
        </xdr:cNvPr>
        <xdr:cNvGrpSpPr/>
      </xdr:nvGrpSpPr>
      <xdr:grpSpPr>
        <a:xfrm>
          <a:off x="95250" y="38100"/>
          <a:ext cx="505181" cy="574196"/>
          <a:chOff x="7909165" y="2143125"/>
          <a:chExt cx="505181" cy="574196"/>
        </a:xfrm>
      </xdr:grpSpPr>
      <xdr:pic>
        <xdr:nvPicPr>
          <xdr:cNvPr id="3" name="Picture 2" descr="Calendar - Free Tools and utensils icons">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7909165" y="2143125"/>
            <a:ext cx="400050" cy="408043"/>
          </a:xfrm>
          <a:prstGeom prst="rect">
            <a:avLst/>
          </a:prstGeom>
          <a:noFill/>
          <a:extLst>
            <a:ext uri="{909E8E84-426E-40DD-AFC4-6F175D3DCCD1}">
              <a14:hiddenFill xmlns:a14="http://schemas.microsoft.com/office/drawing/2010/main">
                <a:solidFill>
                  <a:srgbClr val="FFFFFF"/>
                </a:solidFill>
              </a14:hiddenFill>
            </a:ext>
          </a:extLst>
        </xdr:spPr>
      </xdr:pic>
      <xdr:pic>
        <xdr:nvPicPr>
          <xdr:cNvPr id="4" name="Picture 3" descr="Back-To-Top Icons - Free SVG &amp; PNG Back-To-Top Images - Noun ...">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121586" y="2353752"/>
            <a:ext cx="292760" cy="36356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285750</xdr:colOff>
      <xdr:row>0</xdr:row>
      <xdr:rowOff>47625</xdr:rowOff>
    </xdr:from>
    <xdr:to>
      <xdr:col>9</xdr:col>
      <xdr:colOff>575310</xdr:colOff>
      <xdr:row>0</xdr:row>
      <xdr:rowOff>417195</xdr:rowOff>
    </xdr:to>
    <xdr:sp macro="" textlink="">
      <xdr:nvSpPr>
        <xdr:cNvPr id="5" name="Rectangle 4">
          <a:hlinkClick xmlns:r="http://schemas.openxmlformats.org/officeDocument/2006/relationships" r:id="rId3" tooltip="Regresar al Inicio"/>
          <a:extLst>
            <a:ext uri="{FF2B5EF4-FFF2-40B4-BE49-F238E27FC236}">
              <a16:creationId xmlns:a16="http://schemas.microsoft.com/office/drawing/2014/main" id="{00000000-0008-0000-0800-000005000000}"/>
            </a:ext>
          </a:extLst>
        </xdr:cNvPr>
        <xdr:cNvSpPr/>
      </xdr:nvSpPr>
      <xdr:spPr>
        <a:xfrm>
          <a:off x="285750" y="47625"/>
          <a:ext cx="8061960" cy="36957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bg1">
                  <a:lumMod val="95000"/>
                </a:schemeClr>
              </a:solidFill>
            </a:rPr>
            <a:t>	Fechas Máximas</a:t>
          </a:r>
        </a:p>
      </xdr:txBody>
    </xdr:sp>
    <xdr:clientData/>
  </xdr:twoCellAnchor>
  <xdr:twoCellAnchor>
    <xdr:from>
      <xdr:col>7</xdr:col>
      <xdr:colOff>438150</xdr:colOff>
      <xdr:row>5</xdr:row>
      <xdr:rowOff>161925</xdr:rowOff>
    </xdr:from>
    <xdr:to>
      <xdr:col>7</xdr:col>
      <xdr:colOff>885825</xdr:colOff>
      <xdr:row>8</xdr:row>
      <xdr:rowOff>28575</xdr:rowOff>
    </xdr:to>
    <xdr:grpSp>
      <xdr:nvGrpSpPr>
        <xdr:cNvPr id="13" name="Group 12">
          <a:extLst>
            <a:ext uri="{FF2B5EF4-FFF2-40B4-BE49-F238E27FC236}">
              <a16:creationId xmlns:a16="http://schemas.microsoft.com/office/drawing/2014/main" id="{00000000-0008-0000-0800-00000D000000}"/>
            </a:ext>
          </a:extLst>
        </xdr:cNvPr>
        <xdr:cNvGrpSpPr/>
      </xdr:nvGrpSpPr>
      <xdr:grpSpPr>
        <a:xfrm>
          <a:off x="6134100" y="1504950"/>
          <a:ext cx="447675" cy="438150"/>
          <a:chOff x="6153150" y="1533525"/>
          <a:chExt cx="447675" cy="438150"/>
        </a:xfrm>
      </xdr:grpSpPr>
      <mc:AlternateContent xmlns:mc="http://schemas.openxmlformats.org/markup-compatibility/2006">
        <mc:Choice xmlns:a14="http://schemas.microsoft.com/office/drawing/2010/main" Requires="a14">
          <xdr:sp macro="" textlink="">
            <xdr:nvSpPr>
              <xdr:cNvPr id="10245" name="LFechaMax4" hidden="1">
                <a:extLst>
                  <a:ext uri="{63B3BB69-23CF-44E3-9099-C40C66FF867C}">
                    <a14:compatExt spid="_x0000_s10245"/>
                  </a:ext>
                  <a:ext uri="{FF2B5EF4-FFF2-40B4-BE49-F238E27FC236}">
                    <a16:creationId xmlns:a16="http://schemas.microsoft.com/office/drawing/2014/main" id="{00000000-0008-0000-0800-000005280000}"/>
                  </a:ext>
                </a:extLst>
              </xdr:cNvPr>
              <xdr:cNvSpPr/>
            </xdr:nvSpPr>
            <xdr:spPr bwMode="auto">
              <a:xfrm>
                <a:off x="6153150" y="1533525"/>
                <a:ext cx="447675" cy="438150"/>
              </a:xfrm>
              <a:prstGeom prst="rect">
                <a:avLst/>
              </a:prstGeom>
              <a:noFill/>
              <a:ln>
                <a:noFill/>
              </a:ln>
              <a:extLst>
                <a:ext uri="{91240B29-F687-4F45-9708-019B960494DF}">
                  <a14:hiddenLine w="9525">
                    <a:noFill/>
                    <a:miter lim="800000"/>
                    <a:headEnd/>
                    <a:tailEnd/>
                  </a14:hiddenLine>
                </a:ext>
              </a:extLst>
            </xdr:spPr>
          </xdr:sp>
        </mc:Choice>
        <mc:Fallback/>
      </mc:AlternateContent>
      <xdr:pic macro="[0]!limpiaCapacidad">
        <xdr:nvPicPr>
          <xdr:cNvPr id="6" name="Picture 5" descr="Delete Special Lineal color icon">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6210300" y="1571625"/>
            <a:ext cx="365760" cy="3657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638175</xdr:colOff>
      <xdr:row>5</xdr:row>
      <xdr:rowOff>123825</xdr:rowOff>
    </xdr:from>
    <xdr:to>
      <xdr:col>3</xdr:col>
      <xdr:colOff>190500</xdr:colOff>
      <xdr:row>8</xdr:row>
      <xdr:rowOff>28575</xdr:rowOff>
    </xdr:to>
    <xdr:grpSp>
      <xdr:nvGrpSpPr>
        <xdr:cNvPr id="11" name="Group 10">
          <a:extLst>
            <a:ext uri="{FF2B5EF4-FFF2-40B4-BE49-F238E27FC236}">
              <a16:creationId xmlns:a16="http://schemas.microsoft.com/office/drawing/2014/main" id="{00000000-0008-0000-0800-00000B000000}"/>
            </a:ext>
          </a:extLst>
        </xdr:cNvPr>
        <xdr:cNvGrpSpPr/>
      </xdr:nvGrpSpPr>
      <xdr:grpSpPr>
        <a:xfrm>
          <a:off x="1857375" y="1466850"/>
          <a:ext cx="447675" cy="476250"/>
          <a:chOff x="1857375" y="1466850"/>
          <a:chExt cx="447675" cy="476250"/>
        </a:xfrm>
      </xdr:grpSpPr>
      <mc:AlternateContent xmlns:mc="http://schemas.openxmlformats.org/markup-compatibility/2006">
        <mc:Choice xmlns:a14="http://schemas.microsoft.com/office/drawing/2010/main" Requires="a14">
          <xdr:sp macro="" textlink="">
            <xdr:nvSpPr>
              <xdr:cNvPr id="10243" name="LFechaMax2" hidden="1">
                <a:extLst>
                  <a:ext uri="{63B3BB69-23CF-44E3-9099-C40C66FF867C}">
                    <a14:compatExt spid="_x0000_s10243"/>
                  </a:ext>
                  <a:ext uri="{FF2B5EF4-FFF2-40B4-BE49-F238E27FC236}">
                    <a16:creationId xmlns:a16="http://schemas.microsoft.com/office/drawing/2014/main" id="{00000000-0008-0000-0800-000003280000}"/>
                  </a:ext>
                </a:extLst>
              </xdr:cNvPr>
              <xdr:cNvSpPr/>
            </xdr:nvSpPr>
            <xdr:spPr bwMode="auto">
              <a:xfrm>
                <a:off x="1857375" y="1466850"/>
                <a:ext cx="447675" cy="476250"/>
              </a:xfrm>
              <a:prstGeom prst="rect">
                <a:avLst/>
              </a:prstGeom>
              <a:noFill/>
              <a:ln>
                <a:noFill/>
              </a:ln>
              <a:extLst>
                <a:ext uri="{91240B29-F687-4F45-9708-019B960494DF}">
                  <a14:hiddenLine w="9525">
                    <a:noFill/>
                    <a:miter lim="800000"/>
                    <a:headEnd/>
                    <a:tailEnd/>
                  </a14:hiddenLine>
                </a:ext>
              </a:extLst>
            </xdr:spPr>
          </xdr:sp>
        </mc:Choice>
        <mc:Fallback/>
      </mc:AlternateContent>
      <xdr:pic macro="[0]!recuperaMaxFechas">
        <xdr:nvPicPr>
          <xdr:cNvPr id="7" name="Picture 6" descr="Arrows, refresh, reload, update icon - Free download">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943100" y="1556162"/>
            <a:ext cx="317183" cy="32048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3</xdr:col>
      <xdr:colOff>295275</xdr:colOff>
      <xdr:row>5</xdr:row>
      <xdr:rowOff>104774</xdr:rowOff>
    </xdr:from>
    <xdr:to>
      <xdr:col>3</xdr:col>
      <xdr:colOff>742950</xdr:colOff>
      <xdr:row>7</xdr:row>
      <xdr:rowOff>190499</xdr:rowOff>
    </xdr:to>
    <xdr:grpSp>
      <xdr:nvGrpSpPr>
        <xdr:cNvPr id="12" name="Group 11">
          <a:extLst>
            <a:ext uri="{FF2B5EF4-FFF2-40B4-BE49-F238E27FC236}">
              <a16:creationId xmlns:a16="http://schemas.microsoft.com/office/drawing/2014/main" id="{00000000-0008-0000-0800-00000C000000}"/>
            </a:ext>
          </a:extLst>
        </xdr:cNvPr>
        <xdr:cNvGrpSpPr/>
      </xdr:nvGrpSpPr>
      <xdr:grpSpPr>
        <a:xfrm>
          <a:off x="2409825" y="1447799"/>
          <a:ext cx="447675" cy="466725"/>
          <a:chOff x="2409825" y="1447799"/>
          <a:chExt cx="447675" cy="466725"/>
        </a:xfrm>
      </xdr:grpSpPr>
      <mc:AlternateContent xmlns:mc="http://schemas.openxmlformats.org/markup-compatibility/2006">
        <mc:Choice xmlns:a14="http://schemas.microsoft.com/office/drawing/2010/main" Requires="a14">
          <xdr:sp macro="" textlink="">
            <xdr:nvSpPr>
              <xdr:cNvPr id="10244" name="LFechaMax3" hidden="1">
                <a:extLst>
                  <a:ext uri="{63B3BB69-23CF-44E3-9099-C40C66FF867C}">
                    <a14:compatExt spid="_x0000_s10244"/>
                  </a:ext>
                  <a:ext uri="{FF2B5EF4-FFF2-40B4-BE49-F238E27FC236}">
                    <a16:creationId xmlns:a16="http://schemas.microsoft.com/office/drawing/2014/main" id="{00000000-0008-0000-0800-000004280000}"/>
                  </a:ext>
                </a:extLst>
              </xdr:cNvPr>
              <xdr:cNvSpPr/>
            </xdr:nvSpPr>
            <xdr:spPr bwMode="auto">
              <a:xfrm>
                <a:off x="2409825" y="1447799"/>
                <a:ext cx="447675" cy="466725"/>
              </a:xfrm>
              <a:prstGeom prst="rect">
                <a:avLst/>
              </a:prstGeom>
              <a:noFill/>
              <a:ln>
                <a:noFill/>
              </a:ln>
              <a:extLst>
                <a:ext uri="{91240B29-F687-4F45-9708-019B960494DF}">
                  <a14:hiddenLine w="9525">
                    <a:noFill/>
                    <a:miter lim="800000"/>
                    <a:headEnd/>
                    <a:tailEnd/>
                  </a14:hiddenLine>
                </a:ext>
              </a:extLst>
            </xdr:spPr>
          </xdr:sp>
        </mc:Choice>
        <mc:Fallback/>
      </mc:AlternateContent>
      <xdr:pic macro="[0]!PoneFechaMax">
        <xdr:nvPicPr>
          <xdr:cNvPr id="9" name="Picture 8" descr="Calendar - Free Tools and utensils icons">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476500" y="1510821"/>
            <a:ext cx="365760" cy="37306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47625</xdr:colOff>
      <xdr:row>5</xdr:row>
      <xdr:rowOff>133349</xdr:rowOff>
    </xdr:from>
    <xdr:to>
      <xdr:col>2</xdr:col>
      <xdr:colOff>495300</xdr:colOff>
      <xdr:row>8</xdr:row>
      <xdr:rowOff>9524</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1266825" y="1476374"/>
          <a:ext cx="447675" cy="447675"/>
          <a:chOff x="1266825" y="1476374"/>
          <a:chExt cx="447675" cy="447675"/>
        </a:xfrm>
      </xdr:grpSpPr>
      <mc:AlternateContent xmlns:mc="http://schemas.openxmlformats.org/markup-compatibility/2006">
        <mc:Choice xmlns:a14="http://schemas.microsoft.com/office/drawing/2010/main" Requires="a14">
          <xdr:sp macro="" textlink="">
            <xdr:nvSpPr>
              <xdr:cNvPr id="10242" name="LFechaMax1" hidden="1">
                <a:extLst>
                  <a:ext uri="{63B3BB69-23CF-44E3-9099-C40C66FF867C}">
                    <a14:compatExt spid="_x0000_s10242"/>
                  </a:ext>
                  <a:ext uri="{FF2B5EF4-FFF2-40B4-BE49-F238E27FC236}">
                    <a16:creationId xmlns:a16="http://schemas.microsoft.com/office/drawing/2014/main" id="{00000000-0008-0000-0800-000002280000}"/>
                  </a:ext>
                </a:extLst>
              </xdr:cNvPr>
              <xdr:cNvSpPr/>
            </xdr:nvSpPr>
            <xdr:spPr bwMode="auto">
              <a:xfrm>
                <a:off x="1266825" y="1476374"/>
                <a:ext cx="447675" cy="447675"/>
              </a:xfrm>
              <a:prstGeom prst="rect">
                <a:avLst/>
              </a:prstGeom>
              <a:noFill/>
              <a:ln>
                <a:noFill/>
              </a:ln>
              <a:extLst>
                <a:ext uri="{91240B29-F687-4F45-9708-019B960494DF}">
                  <a14:hiddenLine w="9525">
                    <a:noFill/>
                    <a:miter lim="800000"/>
                    <a:headEnd/>
                    <a:tailEnd/>
                  </a14:hiddenLine>
                </a:ext>
              </a:extLst>
            </xdr:spPr>
          </xdr:sp>
        </mc:Choice>
        <mc:Fallback/>
      </mc:AlternateContent>
      <xdr:pic macro="[0]!GuardaMaxFechas">
        <xdr:nvPicPr>
          <xdr:cNvPr id="8" name="Picture 7" descr="Save icon - Free download on Iconfinde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323975" y="1541145"/>
            <a:ext cx="365760" cy="36957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600075</xdr:colOff>
      <xdr:row>0</xdr:row>
      <xdr:rowOff>152400</xdr:rowOff>
    </xdr:from>
    <xdr:to>
      <xdr:col>10</xdr:col>
      <xdr:colOff>333374</xdr:colOff>
      <xdr:row>0</xdr:row>
      <xdr:rowOff>609600</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0900-000004000000}"/>
            </a:ext>
          </a:extLst>
        </xdr:cNvPr>
        <xdr:cNvSpPr/>
      </xdr:nvSpPr>
      <xdr:spPr>
        <a:xfrm>
          <a:off x="600075" y="152400"/>
          <a:ext cx="10829924" cy="457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t>Parámetros</a:t>
          </a:r>
          <a:r>
            <a:rPr lang="en-US" sz="2000" b="1" baseline="0"/>
            <a:t> Interfaz</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endParaRPr lang="en-US" sz="2000" b="1"/>
        </a:p>
      </xdr:txBody>
    </xdr:sp>
    <xdr:clientData/>
  </xdr:twoCellAnchor>
  <xdr:twoCellAnchor>
    <xdr:from>
      <xdr:col>0</xdr:col>
      <xdr:colOff>85726</xdr:colOff>
      <xdr:row>0</xdr:row>
      <xdr:rowOff>133350</xdr:rowOff>
    </xdr:from>
    <xdr:to>
      <xdr:col>1</xdr:col>
      <xdr:colOff>28576</xdr:colOff>
      <xdr:row>0</xdr:row>
      <xdr:rowOff>600074</xdr:rowOff>
    </xdr:to>
    <xdr:grpSp>
      <xdr:nvGrpSpPr>
        <xdr:cNvPr id="6" name="Group 5">
          <a:hlinkClick xmlns:r="http://schemas.openxmlformats.org/officeDocument/2006/relationships" r:id="rId2"/>
          <a:extLst>
            <a:ext uri="{FF2B5EF4-FFF2-40B4-BE49-F238E27FC236}">
              <a16:creationId xmlns:a16="http://schemas.microsoft.com/office/drawing/2014/main" id="{00000000-0008-0000-0900-000006000000}"/>
            </a:ext>
          </a:extLst>
        </xdr:cNvPr>
        <xdr:cNvGrpSpPr/>
      </xdr:nvGrpSpPr>
      <xdr:grpSpPr>
        <a:xfrm>
          <a:off x="85726" y="133350"/>
          <a:ext cx="552450" cy="466724"/>
          <a:chOff x="4314825" y="860980"/>
          <a:chExt cx="590551" cy="462996"/>
        </a:xfrm>
      </xdr:grpSpPr>
      <xdr:pic>
        <xdr:nvPicPr>
          <xdr:cNvPr id="7" name="Picture 6" descr="Parameter - Free ui icons">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3"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4314825" y="860980"/>
            <a:ext cx="422309" cy="419409"/>
          </a:xfrm>
          <a:prstGeom prst="rect">
            <a:avLst/>
          </a:prstGeom>
          <a:solidFill>
            <a:srgbClr val="003399"/>
          </a:solidFill>
        </xdr:spPr>
      </xdr:pic>
      <xdr:sp macro="" textlink="">
        <xdr:nvSpPr>
          <xdr:cNvPr id="8" name="Rectangle 7">
            <a:extLst>
              <a:ext uri="{FF2B5EF4-FFF2-40B4-BE49-F238E27FC236}">
                <a16:creationId xmlns:a16="http://schemas.microsoft.com/office/drawing/2014/main" id="{00000000-0008-0000-0900-000008000000}"/>
              </a:ext>
            </a:extLst>
          </xdr:cNvPr>
          <xdr:cNvSpPr/>
        </xdr:nvSpPr>
        <xdr:spPr>
          <a:xfrm>
            <a:off x="4562476" y="952500"/>
            <a:ext cx="342900" cy="3714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accent1"/>
                </a:solidFill>
                <a:latin typeface="Times New Roman" panose="02020603050405020304" pitchFamily="18" charset="0"/>
                <a:cs typeface="Times New Roman" panose="02020603050405020304" pitchFamily="18" charset="0"/>
              </a:rPr>
              <a:t>i</a:t>
            </a:r>
          </a:p>
        </xdr:txBody>
      </xdr:sp>
    </xdr:grp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image" Target="../media/image8.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 Type="http://schemas.openxmlformats.org/officeDocument/2006/relationships/vmlDrawing" Target="../drawings/vmlDrawing2.vml"/><Relationship Id="rId16" Type="http://schemas.openxmlformats.org/officeDocument/2006/relationships/image" Target="../media/image7.emf"/><Relationship Id="rId20" Type="http://schemas.openxmlformats.org/officeDocument/2006/relationships/image" Target="../media/image9.emf"/><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4.emf"/><Relationship Id="rId19" Type="http://schemas.openxmlformats.org/officeDocument/2006/relationships/control" Target="../activeX/activeX9.xml"/><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control" Target="../activeX/activeX10.xml"/><Relationship Id="rId7" Type="http://schemas.openxmlformats.org/officeDocument/2006/relationships/control" Target="../activeX/activeX12.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18.emf"/><Relationship Id="rId5" Type="http://schemas.openxmlformats.org/officeDocument/2006/relationships/control" Target="../activeX/activeX11.xml"/><Relationship Id="rId4" Type="http://schemas.openxmlformats.org/officeDocument/2006/relationships/image" Target="../media/image17.emf"/></Relationships>
</file>

<file path=xl/worksheets/_rels/sheet6.x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control" Target="../activeX/activeX18.xml"/><Relationship Id="rId18" Type="http://schemas.openxmlformats.org/officeDocument/2006/relationships/image" Target="../media/image29.emf"/><Relationship Id="rId3" Type="http://schemas.openxmlformats.org/officeDocument/2006/relationships/control" Target="../activeX/activeX13.xml"/><Relationship Id="rId7" Type="http://schemas.openxmlformats.org/officeDocument/2006/relationships/control" Target="../activeX/activeX15.xml"/><Relationship Id="rId12" Type="http://schemas.openxmlformats.org/officeDocument/2006/relationships/image" Target="../media/image26.emf"/><Relationship Id="rId17" Type="http://schemas.openxmlformats.org/officeDocument/2006/relationships/control" Target="../activeX/activeX20.xml"/><Relationship Id="rId2" Type="http://schemas.openxmlformats.org/officeDocument/2006/relationships/vmlDrawing" Target="../drawings/vmlDrawing4.vml"/><Relationship Id="rId16" Type="http://schemas.openxmlformats.org/officeDocument/2006/relationships/image" Target="../media/image28.emf"/><Relationship Id="rId20" Type="http://schemas.openxmlformats.org/officeDocument/2006/relationships/image" Target="../media/image30.emf"/><Relationship Id="rId1" Type="http://schemas.openxmlformats.org/officeDocument/2006/relationships/drawing" Target="../drawings/drawing4.xml"/><Relationship Id="rId6" Type="http://schemas.openxmlformats.org/officeDocument/2006/relationships/image" Target="../media/image23.emf"/><Relationship Id="rId11" Type="http://schemas.openxmlformats.org/officeDocument/2006/relationships/control" Target="../activeX/activeX17.xml"/><Relationship Id="rId5" Type="http://schemas.openxmlformats.org/officeDocument/2006/relationships/control" Target="../activeX/activeX14.xml"/><Relationship Id="rId15" Type="http://schemas.openxmlformats.org/officeDocument/2006/relationships/control" Target="../activeX/activeX19.xml"/><Relationship Id="rId10" Type="http://schemas.openxmlformats.org/officeDocument/2006/relationships/image" Target="../media/image25.emf"/><Relationship Id="rId19" Type="http://schemas.openxmlformats.org/officeDocument/2006/relationships/control" Target="../activeX/activeX21.xml"/><Relationship Id="rId4" Type="http://schemas.openxmlformats.org/officeDocument/2006/relationships/image" Target="../media/image22.emf"/><Relationship Id="rId9" Type="http://schemas.openxmlformats.org/officeDocument/2006/relationships/control" Target="../activeX/activeX16.xml"/><Relationship Id="rId14" Type="http://schemas.openxmlformats.org/officeDocument/2006/relationships/image" Target="../media/image27.emf"/></Relationships>
</file>

<file path=xl/worksheets/_rels/sheet7.xml.rels><?xml version="1.0" encoding="UTF-8" standalone="yes"?>
<Relationships xmlns="http://schemas.openxmlformats.org/package/2006/relationships"><Relationship Id="rId8" Type="http://schemas.openxmlformats.org/officeDocument/2006/relationships/image" Target="../media/image40.emf"/><Relationship Id="rId13" Type="http://schemas.openxmlformats.org/officeDocument/2006/relationships/control" Target="../activeX/activeX28.xml"/><Relationship Id="rId18" Type="http://schemas.openxmlformats.org/officeDocument/2006/relationships/image" Target="../media/image44.emf"/><Relationship Id="rId3" Type="http://schemas.openxmlformats.org/officeDocument/2006/relationships/control" Target="../activeX/activeX22.xml"/><Relationship Id="rId7" Type="http://schemas.openxmlformats.org/officeDocument/2006/relationships/control" Target="../activeX/activeX24.xml"/><Relationship Id="rId12" Type="http://schemas.openxmlformats.org/officeDocument/2006/relationships/image" Target="../media/image41.emf"/><Relationship Id="rId17" Type="http://schemas.openxmlformats.org/officeDocument/2006/relationships/control" Target="../activeX/activeX30.xml"/><Relationship Id="rId2" Type="http://schemas.openxmlformats.org/officeDocument/2006/relationships/vmlDrawing" Target="../drawings/vmlDrawing5.vml"/><Relationship Id="rId16" Type="http://schemas.openxmlformats.org/officeDocument/2006/relationships/image" Target="../media/image43.emf"/><Relationship Id="rId1" Type="http://schemas.openxmlformats.org/officeDocument/2006/relationships/drawing" Target="../drawings/drawing5.xml"/><Relationship Id="rId6" Type="http://schemas.openxmlformats.org/officeDocument/2006/relationships/image" Target="../media/image39.emf"/><Relationship Id="rId11" Type="http://schemas.openxmlformats.org/officeDocument/2006/relationships/control" Target="../activeX/activeX27.xml"/><Relationship Id="rId5" Type="http://schemas.openxmlformats.org/officeDocument/2006/relationships/control" Target="../activeX/activeX23.xml"/><Relationship Id="rId15" Type="http://schemas.openxmlformats.org/officeDocument/2006/relationships/control" Target="../activeX/activeX29.xml"/><Relationship Id="rId10" Type="http://schemas.openxmlformats.org/officeDocument/2006/relationships/control" Target="../activeX/activeX26.xml"/><Relationship Id="rId4" Type="http://schemas.openxmlformats.org/officeDocument/2006/relationships/image" Target="../media/image38.emf"/><Relationship Id="rId9" Type="http://schemas.openxmlformats.org/officeDocument/2006/relationships/control" Target="../activeX/activeX25.xml"/><Relationship Id="rId14" Type="http://schemas.openxmlformats.org/officeDocument/2006/relationships/image" Target="../media/image42.emf"/></Relationships>
</file>

<file path=xl/worksheets/_rels/sheet9.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control" Target="../activeX/activeX31.xml"/><Relationship Id="rId7" Type="http://schemas.openxmlformats.org/officeDocument/2006/relationships/control" Target="../activeX/activeX33.xml"/><Relationship Id="rId12" Type="http://schemas.openxmlformats.org/officeDocument/2006/relationships/image" Target="../media/image48.emf"/><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image" Target="../media/image46.emf"/><Relationship Id="rId11" Type="http://schemas.openxmlformats.org/officeDocument/2006/relationships/control" Target="../activeX/activeX35.xml"/><Relationship Id="rId5" Type="http://schemas.openxmlformats.org/officeDocument/2006/relationships/control" Target="../activeX/activeX32.xml"/><Relationship Id="rId10" Type="http://schemas.openxmlformats.org/officeDocument/2006/relationships/image" Target="../media/image47.emf"/><Relationship Id="rId4" Type="http://schemas.openxmlformats.org/officeDocument/2006/relationships/image" Target="../media/image45.emf"/><Relationship Id="rId9" Type="http://schemas.openxmlformats.org/officeDocument/2006/relationships/control" Target="../activeX/activeX3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CCDCC-1710-4C73-A854-5E7959325880}">
  <sheetPr codeName="Sheet4"/>
  <dimension ref="A1:H14"/>
  <sheetViews>
    <sheetView workbookViewId="0">
      <selection activeCell="D29" sqref="D29"/>
    </sheetView>
  </sheetViews>
  <sheetFormatPr defaultRowHeight="15" x14ac:dyDescent="0.25"/>
  <cols>
    <col min="3" max="3" width="11.28515625" bestFit="1" customWidth="1"/>
    <col min="4" max="4" width="12.28515625" bestFit="1" customWidth="1"/>
    <col min="6" max="6" width="10.5703125" bestFit="1" customWidth="1"/>
    <col min="8" max="8" width="10.5703125" bestFit="1" customWidth="1"/>
  </cols>
  <sheetData>
    <row r="1" spans="1:8" x14ac:dyDescent="0.25">
      <c r="A1" t="s">
        <v>52</v>
      </c>
    </row>
    <row r="2" spans="1:8" x14ac:dyDescent="0.25">
      <c r="A2" t="s">
        <v>53</v>
      </c>
      <c r="D2" s="6"/>
    </row>
    <row r="5" spans="1:8" x14ac:dyDescent="0.25">
      <c r="C5" s="7">
        <v>45262</v>
      </c>
    </row>
    <row r="8" spans="1:8" x14ac:dyDescent="0.25">
      <c r="F8" s="6"/>
    </row>
    <row r="9" spans="1:8" x14ac:dyDescent="0.25">
      <c r="D9" s="6"/>
    </row>
    <row r="10" spans="1:8" x14ac:dyDescent="0.25">
      <c r="G10" s="6"/>
    </row>
    <row r="11" spans="1:8" x14ac:dyDescent="0.25">
      <c r="A11" t="s">
        <v>54</v>
      </c>
      <c r="B11" t="s">
        <v>55</v>
      </c>
      <c r="C11" t="s">
        <v>56</v>
      </c>
      <c r="D11" t="s">
        <v>57</v>
      </c>
      <c r="H11" s="6"/>
    </row>
    <row r="12" spans="1:8" x14ac:dyDescent="0.25">
      <c r="A12">
        <v>1</v>
      </c>
      <c r="B12" s="8">
        <v>42054</v>
      </c>
      <c r="C12" t="s">
        <v>58</v>
      </c>
    </row>
    <row r="13" spans="1:8" x14ac:dyDescent="0.25">
      <c r="A13">
        <v>1.1000000000000001</v>
      </c>
      <c r="B13" s="8">
        <v>42055</v>
      </c>
      <c r="C13" t="s">
        <v>58</v>
      </c>
      <c r="D13" t="s">
        <v>59</v>
      </c>
    </row>
    <row r="14" spans="1:8" x14ac:dyDescent="0.25">
      <c r="A14">
        <v>1.2</v>
      </c>
      <c r="B14" s="8">
        <v>42184</v>
      </c>
      <c r="C14" t="s">
        <v>58</v>
      </c>
      <c r="D14" t="s">
        <v>60</v>
      </c>
    </row>
  </sheetData>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Ejemplo">
                <anchor moveWithCells="1">
                  <from>
                    <xdr:col>4</xdr:col>
                    <xdr:colOff>171450</xdr:colOff>
                    <xdr:row>4</xdr:row>
                    <xdr:rowOff>28575</xdr:rowOff>
                  </from>
                  <to>
                    <xdr:col>5</xdr:col>
                    <xdr:colOff>514350</xdr:colOff>
                    <xdr:row>5</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4B702-71AF-4B17-BED1-5FFCBE845C8F}">
  <sheetPr codeName="wCal"/>
  <dimension ref="A1:L12"/>
  <sheetViews>
    <sheetView workbookViewId="0">
      <selection activeCell="D21" sqref="D21"/>
    </sheetView>
  </sheetViews>
  <sheetFormatPr defaultRowHeight="15" x14ac:dyDescent="0.25"/>
  <cols>
    <col min="1" max="7" width="13.85546875" customWidth="1"/>
  </cols>
  <sheetData>
    <row r="1" spans="1:12" x14ac:dyDescent="0.25">
      <c r="J1" t="s">
        <v>33</v>
      </c>
      <c r="L1">
        <f ca="1">+YEAR(NOW())-1</f>
        <v>2023</v>
      </c>
    </row>
    <row r="2" spans="1:12" x14ac:dyDescent="0.25">
      <c r="A2" s="6">
        <v>45170</v>
      </c>
      <c r="J2" t="s">
        <v>34</v>
      </c>
      <c r="L2">
        <f ca="1">+L1+1</f>
        <v>2024</v>
      </c>
    </row>
    <row r="3" spans="1:12" x14ac:dyDescent="0.25">
      <c r="J3" t="s">
        <v>35</v>
      </c>
      <c r="L3">
        <f t="shared" ref="L3:L8" ca="1" si="0">+L2+1</f>
        <v>2025</v>
      </c>
    </row>
    <row r="4" spans="1:12" x14ac:dyDescent="0.25">
      <c r="A4" t="s">
        <v>36</v>
      </c>
      <c r="B4" t="s">
        <v>37</v>
      </c>
      <c r="C4" t="s">
        <v>38</v>
      </c>
      <c r="D4" t="s">
        <v>39</v>
      </c>
      <c r="E4" t="s">
        <v>40</v>
      </c>
      <c r="F4" t="s">
        <v>41</v>
      </c>
      <c r="G4" t="s">
        <v>42</v>
      </c>
      <c r="J4" t="s">
        <v>43</v>
      </c>
      <c r="L4">
        <f t="shared" ca="1" si="0"/>
        <v>2026</v>
      </c>
    </row>
    <row r="5" spans="1:12" x14ac:dyDescent="0.25">
      <c r="A5" s="6">
        <v>45165</v>
      </c>
      <c r="B5" s="6">
        <v>45166</v>
      </c>
      <c r="C5" s="6">
        <v>45167</v>
      </c>
      <c r="D5" s="6">
        <v>45168</v>
      </c>
      <c r="E5" s="6">
        <v>45169</v>
      </c>
      <c r="F5" s="6">
        <v>45170</v>
      </c>
      <c r="G5" s="6">
        <v>45171</v>
      </c>
      <c r="J5" t="s">
        <v>44</v>
      </c>
      <c r="L5">
        <f t="shared" ca="1" si="0"/>
        <v>2027</v>
      </c>
    </row>
    <row r="6" spans="1:12" x14ac:dyDescent="0.25">
      <c r="A6" s="6">
        <v>45172</v>
      </c>
      <c r="B6" s="6">
        <v>45173</v>
      </c>
      <c r="C6" s="6">
        <v>45174</v>
      </c>
      <c r="D6" s="6">
        <v>45175</v>
      </c>
      <c r="E6" s="6">
        <v>45176</v>
      </c>
      <c r="F6" s="6">
        <v>45177</v>
      </c>
      <c r="G6" s="6">
        <v>45178</v>
      </c>
      <c r="J6" t="s">
        <v>45</v>
      </c>
      <c r="L6">
        <f t="shared" ca="1" si="0"/>
        <v>2028</v>
      </c>
    </row>
    <row r="7" spans="1:12" x14ac:dyDescent="0.25">
      <c r="A7" s="6">
        <v>45179</v>
      </c>
      <c r="B7" s="6">
        <v>45180</v>
      </c>
      <c r="C7" s="6">
        <v>45181</v>
      </c>
      <c r="D7" s="6">
        <v>45182</v>
      </c>
      <c r="E7" s="6">
        <v>45183</v>
      </c>
      <c r="F7" s="6">
        <v>45184</v>
      </c>
      <c r="G7" s="6">
        <v>45185</v>
      </c>
      <c r="J7" t="s">
        <v>46</v>
      </c>
      <c r="L7">
        <f t="shared" ca="1" si="0"/>
        <v>2029</v>
      </c>
    </row>
    <row r="8" spans="1:12" x14ac:dyDescent="0.25">
      <c r="A8" s="6">
        <v>45186</v>
      </c>
      <c r="B8" s="6">
        <v>45187</v>
      </c>
      <c r="C8" s="6">
        <v>45188</v>
      </c>
      <c r="D8" s="6">
        <v>45189</v>
      </c>
      <c r="E8" s="6">
        <v>45190</v>
      </c>
      <c r="F8" s="6">
        <v>45191</v>
      </c>
      <c r="G8" s="6">
        <v>45192</v>
      </c>
      <c r="J8" t="s">
        <v>47</v>
      </c>
      <c r="L8">
        <f t="shared" ca="1" si="0"/>
        <v>2030</v>
      </c>
    </row>
    <row r="9" spans="1:12" x14ac:dyDescent="0.25">
      <c r="A9" s="6">
        <v>45193</v>
      </c>
      <c r="B9" s="6">
        <v>45194</v>
      </c>
      <c r="C9" s="6">
        <v>45195</v>
      </c>
      <c r="D9" s="6">
        <v>45196</v>
      </c>
      <c r="E9" s="6">
        <v>45197</v>
      </c>
      <c r="F9" s="6">
        <v>45198</v>
      </c>
      <c r="G9" s="6">
        <v>45199</v>
      </c>
      <c r="J9" t="s">
        <v>48</v>
      </c>
    </row>
    <row r="10" spans="1:12" x14ac:dyDescent="0.25">
      <c r="A10" s="6">
        <v>45200</v>
      </c>
      <c r="B10" s="6">
        <v>45201</v>
      </c>
      <c r="C10" s="6">
        <v>45202</v>
      </c>
      <c r="D10" s="6">
        <v>45203</v>
      </c>
      <c r="E10" s="6">
        <v>45204</v>
      </c>
      <c r="F10" s="6">
        <v>45205</v>
      </c>
      <c r="G10" s="6">
        <v>45206</v>
      </c>
      <c r="J10" t="s">
        <v>49</v>
      </c>
    </row>
    <row r="11" spans="1:12" x14ac:dyDescent="0.25">
      <c r="J11" t="s">
        <v>50</v>
      </c>
    </row>
    <row r="12" spans="1:12" x14ac:dyDescent="0.25">
      <c r="J12" t="s">
        <v>51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2A0F4-666B-4E01-A778-057C99B81DE3}">
  <sheetPr codeName="Sheet1"/>
  <dimension ref="A1:BZ1"/>
  <sheetViews>
    <sheetView showGridLines="0" showRowColHeaders="0" tabSelected="1" zoomScale="140" zoomScaleNormal="140" workbookViewId="0">
      <pane ySplit="1" topLeftCell="A2" activePane="bottomLeft" state="frozen"/>
      <selection pane="bottomLeft" activeCell="P5" sqref="P5"/>
    </sheetView>
  </sheetViews>
  <sheetFormatPr defaultRowHeight="15" x14ac:dyDescent="0.25"/>
  <sheetData>
    <row r="1" spans="1:78" ht="56.25" customHeight="1" x14ac:dyDescent="0.2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row>
  </sheetData>
  <pageMargins left="0.7" right="0.7" top="0.75" bottom="0.75" header="0.3" footer="0.3"/>
  <drawing r:id="rId1"/>
  <legacyDrawing r:id="rId2"/>
  <controls>
    <mc:AlternateContent xmlns:mc="http://schemas.openxmlformats.org/markup-compatibility/2006">
      <mc:Choice Requires="x14">
        <control shapeId="6145" r:id="rId3" name="Inicio_BackLabel">
          <controlPr defaultSize="0" autoLine="0" autoPict="0" r:id="rId4">
            <anchor moveWithCells="1">
              <from>
                <xdr:col>0</xdr:col>
                <xdr:colOff>95250</xdr:colOff>
                <xdr:row>0</xdr:row>
                <xdr:rowOff>123825</xdr:rowOff>
              </from>
              <to>
                <xdr:col>15</xdr:col>
                <xdr:colOff>0</xdr:colOff>
                <xdr:row>26</xdr:row>
                <xdr:rowOff>142875</xdr:rowOff>
              </to>
            </anchor>
          </controlPr>
        </control>
      </mc:Choice>
      <mc:Fallback>
        <control shapeId="6145" r:id="rId3" name="Inicio_BackLabel"/>
      </mc:Fallback>
    </mc:AlternateContent>
    <mc:AlternateContent xmlns:mc="http://schemas.openxmlformats.org/markup-compatibility/2006">
      <mc:Choice Requires="x14">
        <control shapeId="6146" r:id="rId5" name="LInicio1">
          <controlPr defaultSize="0" autoLine="0" autoPict="0" r:id="rId6">
            <anchor moveWithCells="1">
              <from>
                <xdr:col>1</xdr:col>
                <xdr:colOff>76200</xdr:colOff>
                <xdr:row>1</xdr:row>
                <xdr:rowOff>114300</xdr:rowOff>
              </from>
              <to>
                <xdr:col>6</xdr:col>
                <xdr:colOff>495300</xdr:colOff>
                <xdr:row>4</xdr:row>
                <xdr:rowOff>114300</xdr:rowOff>
              </to>
            </anchor>
          </controlPr>
        </control>
      </mc:Choice>
      <mc:Fallback>
        <control shapeId="6146" r:id="rId5" name="LInicio1"/>
      </mc:Fallback>
    </mc:AlternateContent>
    <mc:AlternateContent xmlns:mc="http://schemas.openxmlformats.org/markup-compatibility/2006">
      <mc:Choice Requires="x14">
        <control shapeId="6148" r:id="rId7" name="LInicio2">
          <controlPr defaultSize="0" autoLine="0" autoPict="0" r:id="rId8">
            <anchor moveWithCells="1">
              <from>
                <xdr:col>1</xdr:col>
                <xdr:colOff>76200</xdr:colOff>
                <xdr:row>4</xdr:row>
                <xdr:rowOff>161925</xdr:rowOff>
              </from>
              <to>
                <xdr:col>6</xdr:col>
                <xdr:colOff>495300</xdr:colOff>
                <xdr:row>7</xdr:row>
                <xdr:rowOff>19050</xdr:rowOff>
              </to>
            </anchor>
          </controlPr>
        </control>
      </mc:Choice>
      <mc:Fallback>
        <control shapeId="6148" r:id="rId7" name="LInicio2"/>
      </mc:Fallback>
    </mc:AlternateContent>
    <mc:AlternateContent xmlns:mc="http://schemas.openxmlformats.org/markup-compatibility/2006">
      <mc:Choice Requires="x14">
        <control shapeId="6149" r:id="rId9" name="LInicio3">
          <controlPr defaultSize="0" autoLine="0" autoPict="0" r:id="rId10">
            <anchor moveWithCells="1">
              <from>
                <xdr:col>1</xdr:col>
                <xdr:colOff>76200</xdr:colOff>
                <xdr:row>7</xdr:row>
                <xdr:rowOff>76200</xdr:rowOff>
              </from>
              <to>
                <xdr:col>6</xdr:col>
                <xdr:colOff>542925</xdr:colOff>
                <xdr:row>9</xdr:row>
                <xdr:rowOff>171450</xdr:rowOff>
              </to>
            </anchor>
          </controlPr>
        </control>
      </mc:Choice>
      <mc:Fallback>
        <control shapeId="6149" r:id="rId9" name="LInicio3"/>
      </mc:Fallback>
    </mc:AlternateContent>
    <mc:AlternateContent xmlns:mc="http://schemas.openxmlformats.org/markup-compatibility/2006">
      <mc:Choice Requires="x14">
        <control shapeId="6150" r:id="rId11" name="LInicio4">
          <controlPr defaultSize="0" autoLine="0" r:id="rId12">
            <anchor moveWithCells="1">
              <from>
                <xdr:col>1</xdr:col>
                <xdr:colOff>95250</xdr:colOff>
                <xdr:row>10</xdr:row>
                <xdr:rowOff>38100</xdr:rowOff>
              </from>
              <to>
                <xdr:col>4</xdr:col>
                <xdr:colOff>542925</xdr:colOff>
                <xdr:row>12</xdr:row>
                <xdr:rowOff>142875</xdr:rowOff>
              </to>
            </anchor>
          </controlPr>
        </control>
      </mc:Choice>
      <mc:Fallback>
        <control shapeId="6150" r:id="rId11" name="LInicio4"/>
      </mc:Fallback>
    </mc:AlternateContent>
    <mc:AlternateContent xmlns:mc="http://schemas.openxmlformats.org/markup-compatibility/2006">
      <mc:Choice Requires="x14">
        <control shapeId="6151" r:id="rId13" name="LInicio5">
          <controlPr defaultSize="0" autoLine="0" autoPict="0" r:id="rId14">
            <anchor moveWithCells="1">
              <from>
                <xdr:col>1</xdr:col>
                <xdr:colOff>66675</xdr:colOff>
                <xdr:row>13</xdr:row>
                <xdr:rowOff>28575</xdr:rowOff>
              </from>
              <to>
                <xdr:col>5</xdr:col>
                <xdr:colOff>400050</xdr:colOff>
                <xdr:row>15</xdr:row>
                <xdr:rowOff>152400</xdr:rowOff>
              </to>
            </anchor>
          </controlPr>
        </control>
      </mc:Choice>
      <mc:Fallback>
        <control shapeId="6151" r:id="rId13" name="LInicio5"/>
      </mc:Fallback>
    </mc:AlternateContent>
    <mc:AlternateContent xmlns:mc="http://schemas.openxmlformats.org/markup-compatibility/2006">
      <mc:Choice Requires="x14">
        <control shapeId="6152" r:id="rId15" name="LInicio6">
          <controlPr defaultSize="0" autoLine="0" autoPict="0" r:id="rId16">
            <anchor moveWithCells="1">
              <from>
                <xdr:col>1</xdr:col>
                <xdr:colOff>66675</xdr:colOff>
                <xdr:row>15</xdr:row>
                <xdr:rowOff>190500</xdr:rowOff>
              </from>
              <to>
                <xdr:col>5</xdr:col>
                <xdr:colOff>590550</xdr:colOff>
                <xdr:row>18</xdr:row>
                <xdr:rowOff>114300</xdr:rowOff>
              </to>
            </anchor>
          </controlPr>
        </control>
      </mc:Choice>
      <mc:Fallback>
        <control shapeId="6152" r:id="rId15" name="LInicio6"/>
      </mc:Fallback>
    </mc:AlternateContent>
    <mc:AlternateContent xmlns:mc="http://schemas.openxmlformats.org/markup-compatibility/2006">
      <mc:Choice Requires="x14">
        <control shapeId="6153" r:id="rId17" name="LInicio7">
          <controlPr defaultSize="0" autoLine="0" autoPict="0" r:id="rId18">
            <anchor moveWithCells="1">
              <from>
                <xdr:col>1</xdr:col>
                <xdr:colOff>57150</xdr:colOff>
                <xdr:row>18</xdr:row>
                <xdr:rowOff>180975</xdr:rowOff>
              </from>
              <to>
                <xdr:col>5</xdr:col>
                <xdr:colOff>171450</xdr:colOff>
                <xdr:row>21</xdr:row>
                <xdr:rowOff>85725</xdr:rowOff>
              </to>
            </anchor>
          </controlPr>
        </control>
      </mc:Choice>
      <mc:Fallback>
        <control shapeId="6153" r:id="rId17" name="LInicio7"/>
      </mc:Fallback>
    </mc:AlternateContent>
    <mc:AlternateContent xmlns:mc="http://schemas.openxmlformats.org/markup-compatibility/2006">
      <mc:Choice Requires="x14">
        <control shapeId="6154" r:id="rId19" name="LInicio8">
          <controlPr defaultSize="0" autoLine="0" autoPict="0" r:id="rId20">
            <anchor moveWithCells="1">
              <from>
                <xdr:col>7</xdr:col>
                <xdr:colOff>0</xdr:colOff>
                <xdr:row>1</xdr:row>
                <xdr:rowOff>114300</xdr:rowOff>
              </from>
              <to>
                <xdr:col>11</xdr:col>
                <xdr:colOff>123825</xdr:colOff>
                <xdr:row>4</xdr:row>
                <xdr:rowOff>38100</xdr:rowOff>
              </to>
            </anchor>
          </controlPr>
        </control>
      </mc:Choice>
      <mc:Fallback>
        <control shapeId="6154" r:id="rId19" name="LInicio8"/>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3DF6B-8786-4CC1-8A0E-1A75D4413B59}">
  <sheetPr codeName="Sheet10"/>
  <dimension ref="A1:C37"/>
  <sheetViews>
    <sheetView workbookViewId="0">
      <selection sqref="A1:C1048576"/>
    </sheetView>
  </sheetViews>
  <sheetFormatPr defaultRowHeight="15" x14ac:dyDescent="0.25"/>
  <cols>
    <col min="1" max="1" width="6.85546875" bestFit="1" customWidth="1"/>
    <col min="2" max="2" width="23.42578125" bestFit="1" customWidth="1"/>
    <col min="3" max="3" width="10.85546875" style="45" bestFit="1" customWidth="1"/>
  </cols>
  <sheetData>
    <row r="1" spans="1:3" x14ac:dyDescent="0.25">
      <c r="A1" s="4" t="s">
        <v>115</v>
      </c>
      <c r="B1" s="4" t="s">
        <v>116</v>
      </c>
      <c r="C1" s="5" t="s">
        <v>117</v>
      </c>
    </row>
    <row r="2" spans="1:3" x14ac:dyDescent="0.25">
      <c r="A2" s="4" t="s">
        <v>114</v>
      </c>
      <c r="B2" s="4" t="s">
        <v>84</v>
      </c>
      <c r="C2" s="5">
        <v>45182</v>
      </c>
    </row>
    <row r="3" spans="1:3" x14ac:dyDescent="0.25">
      <c r="A3" s="4" t="s">
        <v>118</v>
      </c>
      <c r="B3" s="4" t="s">
        <v>84</v>
      </c>
      <c r="C3" s="5">
        <v>45182</v>
      </c>
    </row>
    <row r="4" spans="1:3" x14ac:dyDescent="0.25">
      <c r="A4" s="4" t="s">
        <v>119</v>
      </c>
      <c r="B4" s="4" t="s">
        <v>84</v>
      </c>
      <c r="C4" s="5">
        <v>45182</v>
      </c>
    </row>
    <row r="5" spans="1:3" x14ac:dyDescent="0.25">
      <c r="A5" s="4" t="s">
        <v>120</v>
      </c>
      <c r="B5" s="4" t="s">
        <v>84</v>
      </c>
      <c r="C5" s="5">
        <v>45182</v>
      </c>
    </row>
    <row r="6" spans="1:3" x14ac:dyDescent="0.25">
      <c r="A6" s="4" t="s">
        <v>121</v>
      </c>
      <c r="B6" s="4" t="s">
        <v>84</v>
      </c>
      <c r="C6" s="5">
        <v>45187</v>
      </c>
    </row>
    <row r="7" spans="1:3" x14ac:dyDescent="0.25">
      <c r="A7" s="4" t="s">
        <v>122</v>
      </c>
      <c r="B7" s="4" t="s">
        <v>84</v>
      </c>
      <c r="C7" s="5">
        <v>45182</v>
      </c>
    </row>
    <row r="8" spans="1:3" x14ac:dyDescent="0.25">
      <c r="A8" s="4" t="s">
        <v>114</v>
      </c>
      <c r="B8" s="4" t="s">
        <v>102</v>
      </c>
      <c r="C8" s="5">
        <v>45567</v>
      </c>
    </row>
    <row r="9" spans="1:3" x14ac:dyDescent="0.25">
      <c r="A9" s="4" t="s">
        <v>118</v>
      </c>
      <c r="B9" s="4" t="s">
        <v>102</v>
      </c>
      <c r="C9" s="5">
        <v>45597</v>
      </c>
    </row>
    <row r="10" spans="1:3" x14ac:dyDescent="0.25">
      <c r="A10" s="4" t="s">
        <v>119</v>
      </c>
      <c r="B10" s="4" t="s">
        <v>102</v>
      </c>
      <c r="C10" s="5">
        <v>45567</v>
      </c>
    </row>
    <row r="11" spans="1:3" x14ac:dyDescent="0.25">
      <c r="A11" s="4" t="s">
        <v>120</v>
      </c>
      <c r="B11" s="4" t="s">
        <v>102</v>
      </c>
      <c r="C11" s="5">
        <v>45617</v>
      </c>
    </row>
    <row r="12" spans="1:3" x14ac:dyDescent="0.25">
      <c r="A12" s="4" t="s">
        <v>121</v>
      </c>
      <c r="B12" s="4" t="s">
        <v>102</v>
      </c>
      <c r="C12" s="5">
        <v>45567</v>
      </c>
    </row>
    <row r="13" spans="1:3" x14ac:dyDescent="0.25">
      <c r="A13" s="4" t="s">
        <v>122</v>
      </c>
      <c r="B13" s="4" t="s">
        <v>102</v>
      </c>
      <c r="C13" s="5">
        <v>45567</v>
      </c>
    </row>
    <row r="14" spans="1:3" x14ac:dyDescent="0.25">
      <c r="A14" s="4" t="s">
        <v>114</v>
      </c>
      <c r="B14" s="4" t="s">
        <v>85</v>
      </c>
      <c r="C14" s="5">
        <v>45198</v>
      </c>
    </row>
    <row r="15" spans="1:3" x14ac:dyDescent="0.25">
      <c r="A15" s="4" t="s">
        <v>118</v>
      </c>
      <c r="B15" s="4" t="s">
        <v>85</v>
      </c>
      <c r="C15" s="5">
        <v>45187</v>
      </c>
    </row>
    <row r="16" spans="1:3" x14ac:dyDescent="0.25">
      <c r="A16" s="4" t="s">
        <v>119</v>
      </c>
      <c r="B16" s="4" t="s">
        <v>85</v>
      </c>
      <c r="C16" s="5">
        <v>45211</v>
      </c>
    </row>
    <row r="17" spans="1:3" x14ac:dyDescent="0.25">
      <c r="A17" s="4" t="s">
        <v>120</v>
      </c>
      <c r="B17" s="4" t="s">
        <v>85</v>
      </c>
      <c r="C17" s="5">
        <v>45195</v>
      </c>
    </row>
    <row r="18" spans="1:3" x14ac:dyDescent="0.25">
      <c r="A18" s="4" t="s">
        <v>121</v>
      </c>
      <c r="B18" s="4" t="s">
        <v>85</v>
      </c>
      <c r="C18" s="5">
        <v>45201</v>
      </c>
    </row>
    <row r="19" spans="1:3" x14ac:dyDescent="0.25">
      <c r="A19" s="4" t="s">
        <v>122</v>
      </c>
      <c r="B19" s="4" t="s">
        <v>85</v>
      </c>
      <c r="C19" s="5">
        <v>45196</v>
      </c>
    </row>
    <row r="20" spans="1:3" x14ac:dyDescent="0.25">
      <c r="A20" s="4" t="s">
        <v>114</v>
      </c>
      <c r="B20" s="4" t="s">
        <v>86</v>
      </c>
      <c r="C20" s="5">
        <v>45190</v>
      </c>
    </row>
    <row r="21" spans="1:3" x14ac:dyDescent="0.25">
      <c r="A21" s="4" t="s">
        <v>118</v>
      </c>
      <c r="B21" s="4" t="s">
        <v>86</v>
      </c>
      <c r="C21" s="5">
        <v>45187</v>
      </c>
    </row>
    <row r="22" spans="1:3" x14ac:dyDescent="0.25">
      <c r="A22" s="4" t="s">
        <v>119</v>
      </c>
      <c r="B22" s="4" t="s">
        <v>86</v>
      </c>
      <c r="C22" s="5">
        <v>45197</v>
      </c>
    </row>
    <row r="23" spans="1:3" x14ac:dyDescent="0.25">
      <c r="A23" s="4" t="s">
        <v>120</v>
      </c>
      <c r="B23" s="4" t="s">
        <v>86</v>
      </c>
      <c r="C23" s="5">
        <v>45209</v>
      </c>
    </row>
    <row r="24" spans="1:3" x14ac:dyDescent="0.25">
      <c r="A24" s="4" t="s">
        <v>121</v>
      </c>
      <c r="B24" s="4" t="s">
        <v>86</v>
      </c>
      <c r="C24" s="5">
        <v>45190</v>
      </c>
    </row>
    <row r="25" spans="1:3" x14ac:dyDescent="0.25">
      <c r="A25" s="4" t="s">
        <v>122</v>
      </c>
      <c r="B25" s="4" t="s">
        <v>86</v>
      </c>
      <c r="C25" s="5">
        <v>45195</v>
      </c>
    </row>
    <row r="26" spans="1:3" x14ac:dyDescent="0.25">
      <c r="A26" s="4" t="s">
        <v>114</v>
      </c>
      <c r="B26" s="4" t="s">
        <v>87</v>
      </c>
      <c r="C26" s="5">
        <v>45222</v>
      </c>
    </row>
    <row r="27" spans="1:3" x14ac:dyDescent="0.25">
      <c r="A27" s="4" t="s">
        <v>118</v>
      </c>
      <c r="B27" s="4" t="s">
        <v>87</v>
      </c>
      <c r="C27" s="5">
        <v>45189</v>
      </c>
    </row>
    <row r="28" spans="1:3" x14ac:dyDescent="0.25">
      <c r="A28" s="4" t="s">
        <v>119</v>
      </c>
      <c r="B28" s="4" t="s">
        <v>87</v>
      </c>
      <c r="C28" s="5">
        <v>45189</v>
      </c>
    </row>
    <row r="29" spans="1:3" x14ac:dyDescent="0.25">
      <c r="A29" s="4" t="s">
        <v>120</v>
      </c>
      <c r="B29" s="4" t="s">
        <v>87</v>
      </c>
      <c r="C29" s="5">
        <v>45194</v>
      </c>
    </row>
    <row r="30" spans="1:3" x14ac:dyDescent="0.25">
      <c r="A30" s="4" t="s">
        <v>121</v>
      </c>
      <c r="B30" s="4" t="s">
        <v>87</v>
      </c>
      <c r="C30" s="5">
        <v>45190</v>
      </c>
    </row>
    <row r="31" spans="1:3" x14ac:dyDescent="0.25">
      <c r="A31" s="4" t="s">
        <v>122</v>
      </c>
      <c r="B31" s="4" t="s">
        <v>87</v>
      </c>
      <c r="C31" s="5">
        <v>45194</v>
      </c>
    </row>
    <row r="32" spans="1:3" x14ac:dyDescent="0.25">
      <c r="A32" s="4" t="s">
        <v>114</v>
      </c>
      <c r="B32" s="4" t="s">
        <v>88</v>
      </c>
      <c r="C32" s="5">
        <v>45225</v>
      </c>
    </row>
    <row r="33" spans="1:3" x14ac:dyDescent="0.25">
      <c r="A33" s="4" t="s">
        <v>118</v>
      </c>
      <c r="B33" s="4" t="s">
        <v>88</v>
      </c>
      <c r="C33" s="5">
        <v>45187</v>
      </c>
    </row>
    <row r="34" spans="1:3" x14ac:dyDescent="0.25">
      <c r="A34" s="4" t="s">
        <v>119</v>
      </c>
      <c r="B34" s="4" t="s">
        <v>88</v>
      </c>
      <c r="C34" s="5">
        <v>45189</v>
      </c>
    </row>
    <row r="35" spans="1:3" x14ac:dyDescent="0.25">
      <c r="A35" s="4" t="s">
        <v>120</v>
      </c>
      <c r="B35" s="4" t="s">
        <v>88</v>
      </c>
      <c r="C35" s="5">
        <v>45189</v>
      </c>
    </row>
    <row r="36" spans="1:3" x14ac:dyDescent="0.25">
      <c r="A36" s="4" t="s">
        <v>121</v>
      </c>
      <c r="B36" s="4" t="s">
        <v>88</v>
      </c>
      <c r="C36" s="5">
        <v>45194</v>
      </c>
    </row>
    <row r="37" spans="1:3" x14ac:dyDescent="0.25">
      <c r="A37" s="4" t="s">
        <v>122</v>
      </c>
      <c r="B37" s="4" t="s">
        <v>88</v>
      </c>
      <c r="C37" s="5">
        <v>45187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ACC36-0A92-4040-A8B6-9992DAABCBB6}">
  <sheetPr codeName="Sheet5"/>
  <dimension ref="A1:BY42"/>
  <sheetViews>
    <sheetView showGridLines="0" zoomScale="98" zoomScaleNormal="98" workbookViewId="0">
      <pane xSplit="2" ySplit="10" topLeftCell="C11" activePane="bottomRight" state="frozen"/>
      <selection pane="topRight" activeCell="C1" sqref="C1"/>
      <selection pane="bottomLeft" activeCell="A11" sqref="A11"/>
      <selection pane="bottomRight" activeCell="A10" sqref="A10"/>
    </sheetView>
  </sheetViews>
  <sheetFormatPr defaultRowHeight="15" x14ac:dyDescent="0.25"/>
  <cols>
    <col min="3" max="8" width="18.85546875" customWidth="1"/>
  </cols>
  <sheetData>
    <row r="1" spans="1:77" ht="38.25" customHeight="1" x14ac:dyDescent="0.25">
      <c r="B1" s="9"/>
      <c r="C1" s="9"/>
      <c r="D1" s="9"/>
      <c r="E1" s="9"/>
      <c r="F1" s="9"/>
      <c r="G1" s="9"/>
      <c r="H1" s="29" t="b">
        <v>1</v>
      </c>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row>
    <row r="2" spans="1:77" hidden="1" x14ac:dyDescent="0.25"/>
    <row r="3" spans="1:77" hidden="1" x14ac:dyDescent="0.25"/>
    <row r="4" spans="1:77" hidden="1" x14ac:dyDescent="0.25"/>
    <row r="5" spans="1:77" hidden="1" x14ac:dyDescent="0.25"/>
    <row r="7" spans="1:77" ht="24" customHeight="1" x14ac:dyDescent="0.25">
      <c r="D7" s="162" t="s">
        <v>151</v>
      </c>
      <c r="E7" s="163"/>
      <c r="F7" s="163"/>
      <c r="G7" s="164"/>
    </row>
    <row r="8" spans="1:77" ht="24" customHeight="1" x14ac:dyDescent="0.25">
      <c r="D8" s="165"/>
      <c r="E8" s="166"/>
      <c r="F8" s="166"/>
      <c r="G8" s="167"/>
    </row>
    <row r="9" spans="1:77" x14ac:dyDescent="0.25">
      <c r="C9" t="s">
        <v>110</v>
      </c>
    </row>
    <row r="10" spans="1:77" ht="36.75" customHeight="1" x14ac:dyDescent="0.25">
      <c r="B10" s="34" t="s">
        <v>112</v>
      </c>
      <c r="C10" s="35" t="s">
        <v>84</v>
      </c>
      <c r="D10" s="36" t="s">
        <v>102</v>
      </c>
      <c r="E10" s="37" t="s">
        <v>85</v>
      </c>
      <c r="F10" s="38" t="s">
        <v>86</v>
      </c>
      <c r="G10" s="39" t="s">
        <v>87</v>
      </c>
      <c r="H10" s="40" t="s">
        <v>88</v>
      </c>
    </row>
    <row r="11" spans="1:77" x14ac:dyDescent="0.25">
      <c r="A11" s="160" t="s">
        <v>109</v>
      </c>
      <c r="B11" s="32" t="s">
        <v>73</v>
      </c>
      <c r="C11" s="41">
        <v>21</v>
      </c>
      <c r="D11" s="41">
        <v>14</v>
      </c>
      <c r="E11" s="41">
        <v>14</v>
      </c>
      <c r="F11" s="41">
        <v>14</v>
      </c>
      <c r="G11" s="41">
        <v>14</v>
      </c>
      <c r="H11" s="41">
        <v>20</v>
      </c>
    </row>
    <row r="12" spans="1:77" x14ac:dyDescent="0.25">
      <c r="A12" s="160"/>
      <c r="B12" s="33" t="s">
        <v>74</v>
      </c>
      <c r="C12" s="42">
        <v>18</v>
      </c>
      <c r="D12" s="42">
        <v>5</v>
      </c>
      <c r="E12" s="42">
        <v>5</v>
      </c>
      <c r="F12" s="42">
        <v>5</v>
      </c>
      <c r="G12" s="42">
        <v>5</v>
      </c>
      <c r="H12" s="42">
        <v>9</v>
      </c>
    </row>
    <row r="13" spans="1:77" x14ac:dyDescent="0.25">
      <c r="A13" s="160"/>
      <c r="B13" s="33" t="s">
        <v>75</v>
      </c>
      <c r="C13" s="42">
        <v>22</v>
      </c>
      <c r="D13" s="42">
        <v>14</v>
      </c>
      <c r="E13" s="42">
        <v>14</v>
      </c>
      <c r="F13" s="42">
        <v>14</v>
      </c>
      <c r="G13" s="42">
        <v>14</v>
      </c>
      <c r="H13" s="42">
        <v>18</v>
      </c>
    </row>
    <row r="14" spans="1:77" x14ac:dyDescent="0.25">
      <c r="A14" s="160"/>
      <c r="B14" s="33" t="s">
        <v>76</v>
      </c>
      <c r="C14" s="42">
        <v>21</v>
      </c>
      <c r="D14" s="42">
        <v>14</v>
      </c>
      <c r="E14" s="42">
        <v>14</v>
      </c>
      <c r="F14" s="42">
        <v>14</v>
      </c>
      <c r="G14" s="42">
        <v>14</v>
      </c>
      <c r="H14" s="42">
        <v>20</v>
      </c>
    </row>
    <row r="15" spans="1:77" x14ac:dyDescent="0.25">
      <c r="A15" s="160"/>
      <c r="B15" s="33" t="s">
        <v>77</v>
      </c>
      <c r="C15" s="42">
        <v>23</v>
      </c>
      <c r="D15" s="42">
        <v>14</v>
      </c>
      <c r="E15" s="42">
        <v>14</v>
      </c>
      <c r="F15" s="42">
        <v>14</v>
      </c>
      <c r="G15" s="42">
        <v>14</v>
      </c>
      <c r="H15" s="42">
        <v>16</v>
      </c>
    </row>
    <row r="16" spans="1:77" x14ac:dyDescent="0.25">
      <c r="A16" s="160"/>
      <c r="B16" s="33" t="s">
        <v>78</v>
      </c>
      <c r="C16" s="42">
        <v>7</v>
      </c>
      <c r="D16" s="42">
        <v>9</v>
      </c>
      <c r="E16" s="42">
        <v>9</v>
      </c>
      <c r="F16" s="42">
        <v>9</v>
      </c>
      <c r="G16" s="42">
        <v>9</v>
      </c>
      <c r="H16" s="42">
        <v>13</v>
      </c>
    </row>
    <row r="17" spans="1:8" x14ac:dyDescent="0.25">
      <c r="A17" s="160"/>
      <c r="B17" s="33" t="s">
        <v>107</v>
      </c>
      <c r="C17" s="42">
        <v>21</v>
      </c>
      <c r="D17" s="42">
        <v>14</v>
      </c>
      <c r="E17" s="42">
        <v>14</v>
      </c>
      <c r="F17" s="42">
        <v>14</v>
      </c>
      <c r="G17" s="42">
        <v>14</v>
      </c>
      <c r="H17" s="42">
        <v>20</v>
      </c>
    </row>
    <row r="18" spans="1:8" x14ac:dyDescent="0.25">
      <c r="A18" s="160"/>
      <c r="B18" s="33"/>
      <c r="C18" s="42"/>
      <c r="D18" s="42"/>
      <c r="E18" s="42"/>
      <c r="F18" s="42"/>
      <c r="G18" s="42"/>
      <c r="H18" s="42"/>
    </row>
    <row r="19" spans="1:8" x14ac:dyDescent="0.25">
      <c r="A19" s="160"/>
      <c r="B19" s="33"/>
      <c r="C19" s="42"/>
      <c r="D19" s="42"/>
      <c r="E19" s="42"/>
      <c r="F19" s="42"/>
      <c r="G19" s="42"/>
      <c r="H19" s="42"/>
    </row>
    <row r="20" spans="1:8" x14ac:dyDescent="0.25">
      <c r="A20" s="160"/>
      <c r="B20" s="33"/>
      <c r="C20" s="42"/>
      <c r="D20" s="42"/>
      <c r="E20" s="42"/>
      <c r="F20" s="42"/>
      <c r="G20" s="42"/>
      <c r="H20" s="42"/>
    </row>
    <row r="21" spans="1:8" x14ac:dyDescent="0.25">
      <c r="A21" s="160"/>
      <c r="B21" s="33"/>
      <c r="C21" s="42"/>
      <c r="D21" s="42"/>
      <c r="E21" s="42"/>
      <c r="F21" s="42"/>
      <c r="G21" s="42"/>
      <c r="H21" s="42"/>
    </row>
    <row r="22" spans="1:8" x14ac:dyDescent="0.25">
      <c r="A22" s="160"/>
      <c r="B22" s="33"/>
      <c r="C22" s="42"/>
      <c r="D22" s="42"/>
      <c r="E22" s="42"/>
      <c r="F22" s="42"/>
      <c r="G22" s="42"/>
      <c r="H22" s="42"/>
    </row>
    <row r="23" spans="1:8" x14ac:dyDescent="0.25">
      <c r="A23" s="160"/>
      <c r="B23" s="33"/>
      <c r="C23" s="42"/>
      <c r="D23" s="42"/>
      <c r="E23" s="42"/>
      <c r="F23" s="42"/>
      <c r="G23" s="42"/>
      <c r="H23" s="42"/>
    </row>
    <row r="24" spans="1:8" ht="15.75" customHeight="1" x14ac:dyDescent="0.25">
      <c r="A24" s="160"/>
      <c r="B24" s="60"/>
      <c r="C24" s="59"/>
      <c r="D24" s="59"/>
      <c r="E24" s="59"/>
      <c r="F24" s="59"/>
      <c r="G24" s="59"/>
      <c r="H24" s="59"/>
    </row>
    <row r="25" spans="1:8" x14ac:dyDescent="0.25">
      <c r="C25">
        <f>SUM(C11:C24)</f>
        <v>133</v>
      </c>
      <c r="D25">
        <f t="shared" ref="D25:H25" si="0">SUM(D11:D24)</f>
        <v>84</v>
      </c>
      <c r="E25">
        <f t="shared" si="0"/>
        <v>84</v>
      </c>
      <c r="F25">
        <f t="shared" si="0"/>
        <v>84</v>
      </c>
      <c r="G25">
        <f t="shared" si="0"/>
        <v>84</v>
      </c>
      <c r="H25">
        <f t="shared" si="0"/>
        <v>116</v>
      </c>
    </row>
    <row r="26" spans="1:8" x14ac:dyDescent="0.25">
      <c r="C26" t="s">
        <v>110</v>
      </c>
    </row>
    <row r="27" spans="1:8" ht="30" x14ac:dyDescent="0.25">
      <c r="B27" s="34" t="s">
        <v>112</v>
      </c>
      <c r="C27" s="35" t="s">
        <v>84</v>
      </c>
      <c r="D27" s="36" t="s">
        <v>102</v>
      </c>
      <c r="E27" s="37" t="s">
        <v>85</v>
      </c>
      <c r="F27" s="38" t="s">
        <v>86</v>
      </c>
      <c r="G27" s="39" t="s">
        <v>87</v>
      </c>
      <c r="H27" s="40" t="s">
        <v>88</v>
      </c>
    </row>
    <row r="28" spans="1:8" x14ac:dyDescent="0.25">
      <c r="A28" s="161" t="s">
        <v>111</v>
      </c>
      <c r="B28" s="32" t="s">
        <v>73</v>
      </c>
      <c r="C28" s="46">
        <v>10</v>
      </c>
      <c r="D28" s="46">
        <v>18</v>
      </c>
      <c r="E28" s="46">
        <v>18</v>
      </c>
      <c r="F28" s="46">
        <v>18</v>
      </c>
      <c r="G28" s="46">
        <v>18</v>
      </c>
      <c r="H28" s="46">
        <v>18</v>
      </c>
    </row>
    <row r="29" spans="1:8" x14ac:dyDescent="0.25">
      <c r="A29" s="161"/>
      <c r="B29" s="33" t="s">
        <v>74</v>
      </c>
      <c r="C29" s="47">
        <v>20</v>
      </c>
      <c r="D29" s="47">
        <v>5</v>
      </c>
      <c r="E29" s="47">
        <v>5</v>
      </c>
      <c r="F29" s="47">
        <v>5</v>
      </c>
      <c r="G29" s="47">
        <v>5</v>
      </c>
      <c r="H29" s="47">
        <v>5</v>
      </c>
    </row>
    <row r="30" spans="1:8" x14ac:dyDescent="0.25">
      <c r="A30" s="161"/>
      <c r="B30" s="33" t="s">
        <v>75</v>
      </c>
      <c r="C30" s="47">
        <v>10</v>
      </c>
      <c r="D30" s="47">
        <v>18</v>
      </c>
      <c r="E30" s="47">
        <v>18</v>
      </c>
      <c r="F30" s="47">
        <v>18</v>
      </c>
      <c r="G30" s="47">
        <v>18</v>
      </c>
      <c r="H30" s="47">
        <v>18</v>
      </c>
    </row>
    <row r="31" spans="1:8" x14ac:dyDescent="0.25">
      <c r="A31" s="161"/>
      <c r="B31" s="33" t="s">
        <v>76</v>
      </c>
      <c r="C31" s="47">
        <v>10</v>
      </c>
      <c r="D31" s="47">
        <v>18</v>
      </c>
      <c r="E31" s="47">
        <v>18</v>
      </c>
      <c r="F31" s="47">
        <v>18</v>
      </c>
      <c r="G31" s="47">
        <v>18</v>
      </c>
      <c r="H31" s="47">
        <v>18</v>
      </c>
    </row>
    <row r="32" spans="1:8" x14ac:dyDescent="0.25">
      <c r="A32" s="161"/>
      <c r="B32" s="33" t="s">
        <v>77</v>
      </c>
      <c r="C32" s="47">
        <v>10</v>
      </c>
      <c r="D32" s="47">
        <v>18</v>
      </c>
      <c r="E32" s="47">
        <v>18</v>
      </c>
      <c r="F32" s="47">
        <v>18</v>
      </c>
      <c r="G32" s="47">
        <v>18</v>
      </c>
      <c r="H32" s="47">
        <v>18</v>
      </c>
    </row>
    <row r="33" spans="1:8" x14ac:dyDescent="0.25">
      <c r="A33" s="161"/>
      <c r="B33" s="33" t="s">
        <v>78</v>
      </c>
      <c r="C33" s="47">
        <v>12</v>
      </c>
      <c r="D33" s="47">
        <v>8</v>
      </c>
      <c r="E33" s="47">
        <v>8</v>
      </c>
      <c r="F33" s="47">
        <v>8</v>
      </c>
      <c r="G33" s="47">
        <v>8</v>
      </c>
      <c r="H33" s="47">
        <v>9</v>
      </c>
    </row>
    <row r="34" spans="1:8" x14ac:dyDescent="0.25">
      <c r="A34" s="161"/>
      <c r="B34" s="33" t="s">
        <v>107</v>
      </c>
      <c r="C34" s="42">
        <v>10</v>
      </c>
      <c r="D34" s="42">
        <v>18</v>
      </c>
      <c r="E34" s="42">
        <v>18</v>
      </c>
      <c r="F34" s="42">
        <v>18</v>
      </c>
      <c r="G34" s="42">
        <v>18</v>
      </c>
      <c r="H34" s="42">
        <v>18</v>
      </c>
    </row>
    <row r="35" spans="1:8" x14ac:dyDescent="0.25">
      <c r="A35" s="161"/>
      <c r="B35" s="33" t="s">
        <v>108</v>
      </c>
      <c r="C35" s="42">
        <v>10</v>
      </c>
      <c r="D35" s="42">
        <v>18</v>
      </c>
      <c r="E35" s="42">
        <v>18</v>
      </c>
      <c r="F35" s="42">
        <v>18</v>
      </c>
      <c r="G35" s="42">
        <v>18</v>
      </c>
      <c r="H35" s="42">
        <v>18</v>
      </c>
    </row>
    <row r="36" spans="1:8" x14ac:dyDescent="0.25">
      <c r="A36" s="161"/>
      <c r="B36" s="33"/>
      <c r="C36" s="42"/>
      <c r="D36" s="42"/>
      <c r="E36" s="42"/>
      <c r="F36" s="42"/>
      <c r="G36" s="42"/>
      <c r="H36" s="42"/>
    </row>
    <row r="37" spans="1:8" x14ac:dyDescent="0.25">
      <c r="A37" s="161"/>
      <c r="B37" s="33"/>
      <c r="C37" s="42"/>
      <c r="D37" s="42"/>
      <c r="E37" s="42"/>
      <c r="F37" s="42"/>
      <c r="G37" s="42"/>
      <c r="H37" s="42"/>
    </row>
    <row r="38" spans="1:8" x14ac:dyDescent="0.25">
      <c r="A38" s="161"/>
      <c r="B38" s="33"/>
      <c r="C38" s="42"/>
      <c r="D38" s="42"/>
      <c r="E38" s="42"/>
      <c r="F38" s="42"/>
      <c r="G38" s="42"/>
      <c r="H38" s="42"/>
    </row>
    <row r="39" spans="1:8" x14ac:dyDescent="0.25">
      <c r="A39" s="161"/>
      <c r="B39" s="33"/>
      <c r="C39" s="42"/>
      <c r="D39" s="42"/>
      <c r="E39" s="42"/>
      <c r="F39" s="42"/>
      <c r="G39" s="42"/>
      <c r="H39" s="42"/>
    </row>
    <row r="40" spans="1:8" x14ac:dyDescent="0.25">
      <c r="A40" s="161"/>
      <c r="B40" s="33"/>
      <c r="C40" s="42"/>
      <c r="D40" s="42"/>
      <c r="E40" s="42"/>
      <c r="F40" s="42"/>
      <c r="G40" s="42"/>
      <c r="H40" s="42"/>
    </row>
    <row r="41" spans="1:8" x14ac:dyDescent="0.25">
      <c r="A41" s="161"/>
      <c r="B41" s="61"/>
      <c r="C41" s="62"/>
      <c r="D41" s="62"/>
      <c r="E41" s="62"/>
      <c r="F41" s="62"/>
      <c r="G41" s="62"/>
      <c r="H41" s="62"/>
    </row>
    <row r="42" spans="1:8" x14ac:dyDescent="0.25">
      <c r="C42">
        <f>SUM(C28:C41)</f>
        <v>92</v>
      </c>
      <c r="D42">
        <f t="shared" ref="D42" si="1">SUM(D28:D41)</f>
        <v>121</v>
      </c>
      <c r="E42">
        <f t="shared" ref="E42" si="2">SUM(E28:E41)</f>
        <v>121</v>
      </c>
      <c r="F42">
        <f t="shared" ref="F42" si="3">SUM(F28:F41)</f>
        <v>121</v>
      </c>
      <c r="G42">
        <f t="shared" ref="G42" si="4">SUM(G28:G41)</f>
        <v>121</v>
      </c>
      <c r="H42">
        <f t="shared" ref="H42" si="5">SUM(H28:H41)</f>
        <v>122</v>
      </c>
    </row>
  </sheetData>
  <mergeCells count="3">
    <mergeCell ref="A11:A24"/>
    <mergeCell ref="A28:A41"/>
    <mergeCell ref="D7:G8"/>
  </mergeCells>
  <pageMargins left="0.7" right="0.7" top="0.75" bottom="0.75" header="0.3" footer="0.3"/>
  <drawing r:id="rId1"/>
  <legacyDrawing r:id="rId2"/>
  <controls>
    <mc:AlternateContent xmlns:mc="http://schemas.openxmlformats.org/markup-compatibility/2006">
      <mc:Choice Requires="x14">
        <control shapeId="7169" r:id="rId3" name="Capacidad_BackLabel">
          <controlPr defaultSize="0" autoLine="0" r:id="rId4">
            <anchor moveWithCells="1">
              <from>
                <xdr:col>0</xdr:col>
                <xdr:colOff>495300</xdr:colOff>
                <xdr:row>0</xdr:row>
                <xdr:rowOff>342900</xdr:rowOff>
              </from>
              <to>
                <xdr:col>2</xdr:col>
                <xdr:colOff>581025</xdr:colOff>
                <xdr:row>9</xdr:row>
                <xdr:rowOff>200025</xdr:rowOff>
              </to>
            </anchor>
          </controlPr>
        </control>
      </mc:Choice>
      <mc:Fallback>
        <control shapeId="7169" r:id="rId3" name="Capacidad_BackLabel"/>
      </mc:Fallback>
    </mc:AlternateContent>
    <mc:AlternateContent xmlns:mc="http://schemas.openxmlformats.org/markup-compatibility/2006">
      <mc:Choice Requires="x14">
        <control shapeId="7170" r:id="rId5" name="LCapacidad1">
          <controlPr defaultSize="0" autoLine="0" r:id="rId6">
            <anchor moveWithCells="1">
              <from>
                <xdr:col>0</xdr:col>
                <xdr:colOff>561975</xdr:colOff>
                <xdr:row>5</xdr:row>
                <xdr:rowOff>57150</xdr:rowOff>
              </from>
              <to>
                <xdr:col>1</xdr:col>
                <xdr:colOff>504825</xdr:colOff>
                <xdr:row>6</xdr:row>
                <xdr:rowOff>247650</xdr:rowOff>
              </to>
            </anchor>
          </controlPr>
        </control>
      </mc:Choice>
      <mc:Fallback>
        <control shapeId="7170" r:id="rId5" name="LCapacidad1"/>
      </mc:Fallback>
    </mc:AlternateContent>
    <mc:AlternateContent xmlns:mc="http://schemas.openxmlformats.org/markup-compatibility/2006">
      <mc:Choice Requires="x14">
        <control shapeId="7171" r:id="rId7" name="LCapacidad2">
          <controlPr defaultSize="0" autoLine="0" r:id="rId8">
            <anchor moveWithCells="1">
              <from>
                <xdr:col>0</xdr:col>
                <xdr:colOff>561975</xdr:colOff>
                <xdr:row>7</xdr:row>
                <xdr:rowOff>104775</xdr:rowOff>
              </from>
              <to>
                <xdr:col>1</xdr:col>
                <xdr:colOff>514350</xdr:colOff>
                <xdr:row>9</xdr:row>
                <xdr:rowOff>66675</xdr:rowOff>
              </to>
            </anchor>
          </controlPr>
        </control>
      </mc:Choice>
      <mc:Fallback>
        <control shapeId="7171" r:id="rId7" name="LCapacidad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049CB-5C53-430D-8203-39A33AED2C13}">
  <sheetPr codeName="Sheet6" filterMode="1"/>
  <dimension ref="A1:BZ298"/>
  <sheetViews>
    <sheetView showGridLines="0" zoomScale="85" zoomScaleNormal="85" workbookViewId="0">
      <pane xSplit="2" ySplit="10" topLeftCell="C149" activePane="bottomRight" state="frozen"/>
      <selection pane="topRight" activeCell="C1" sqref="C1"/>
      <selection pane="bottomLeft" activeCell="A11" sqref="A11"/>
      <selection pane="bottomRight" activeCell="C10" sqref="C10"/>
    </sheetView>
  </sheetViews>
  <sheetFormatPr defaultRowHeight="15" x14ac:dyDescent="0.25"/>
  <cols>
    <col min="1" max="1" width="12.5703125" customWidth="1"/>
    <col min="2" max="2" width="9.140625" hidden="1" customWidth="1"/>
    <col min="3" max="9" width="17.5703125" customWidth="1"/>
    <col min="10" max="10" width="22.85546875" customWidth="1"/>
  </cols>
  <sheetData>
    <row r="1" spans="1:78" ht="30" customHeight="1" x14ac:dyDescent="0.25">
      <c r="B1" s="9"/>
      <c r="C1" s="9"/>
      <c r="D1" s="9"/>
      <c r="E1" s="9"/>
      <c r="F1" s="9"/>
      <c r="G1" s="9"/>
      <c r="H1" s="9"/>
      <c r="I1" s="29" t="b">
        <v>0</v>
      </c>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row>
    <row r="2" spans="1:78" x14ac:dyDescent="0.25">
      <c r="I2" s="30" t="s">
        <v>73</v>
      </c>
    </row>
    <row r="3" spans="1:78" x14ac:dyDescent="0.25">
      <c r="F3" s="168" t="s">
        <v>168</v>
      </c>
      <c r="G3" s="169"/>
      <c r="H3" s="170"/>
    </row>
    <row r="4" spans="1:78" x14ac:dyDescent="0.25">
      <c r="F4" s="171"/>
      <c r="G4" s="172"/>
      <c r="H4" s="173"/>
    </row>
    <row r="5" spans="1:78" x14ac:dyDescent="0.25">
      <c r="C5" s="25" t="s">
        <v>103</v>
      </c>
      <c r="D5" s="24">
        <v>0.41666666666666669</v>
      </c>
      <c r="F5" s="171"/>
      <c r="G5" s="172"/>
      <c r="H5" s="173"/>
    </row>
    <row r="6" spans="1:78" x14ac:dyDescent="0.25">
      <c r="C6" s="25" t="s">
        <v>104</v>
      </c>
      <c r="D6" s="24">
        <v>0.70486111111111116</v>
      </c>
      <c r="F6" s="171"/>
      <c r="G6" s="172"/>
      <c r="H6" s="173"/>
    </row>
    <row r="7" spans="1:78" ht="22.9" customHeight="1" x14ac:dyDescent="0.25">
      <c r="C7" s="26" t="s">
        <v>105</v>
      </c>
      <c r="D7" s="28" t="s">
        <v>74</v>
      </c>
      <c r="F7" s="171"/>
      <c r="G7" s="172"/>
      <c r="H7" s="173"/>
    </row>
    <row r="8" spans="1:78" x14ac:dyDescent="0.25">
      <c r="F8" s="174"/>
      <c r="G8" s="175"/>
      <c r="H8" s="176"/>
    </row>
    <row r="10" spans="1:78" x14ac:dyDescent="0.25">
      <c r="A10" s="12" t="s">
        <v>67</v>
      </c>
      <c r="B10" s="13" t="s">
        <v>67</v>
      </c>
      <c r="C10" s="27" t="s">
        <v>68</v>
      </c>
      <c r="D10" s="27" t="s">
        <v>69</v>
      </c>
      <c r="E10" s="27" t="s">
        <v>95</v>
      </c>
      <c r="F10" s="27" t="s">
        <v>70</v>
      </c>
      <c r="G10" s="27" t="s">
        <v>71</v>
      </c>
      <c r="H10" s="27" t="s">
        <v>96</v>
      </c>
      <c r="I10" s="27" t="s">
        <v>97</v>
      </c>
    </row>
    <row r="11" spans="1:78" hidden="1" x14ac:dyDescent="0.25">
      <c r="A11" s="15">
        <f t="shared" ref="A11:A75" si="0">TIME(,B11,)</f>
        <v>0</v>
      </c>
      <c r="B11" s="14">
        <v>0</v>
      </c>
      <c r="C11" s="52"/>
      <c r="D11" s="53"/>
      <c r="E11" s="53"/>
      <c r="F11" s="53"/>
      <c r="G11" s="53"/>
      <c r="H11" s="53"/>
      <c r="I11" s="53"/>
    </row>
    <row r="12" spans="1:78" hidden="1" x14ac:dyDescent="0.25">
      <c r="A12" s="15">
        <f t="shared" si="0"/>
        <v>3.472222222222222E-3</v>
      </c>
      <c r="B12" s="16">
        <v>5</v>
      </c>
      <c r="C12" s="52"/>
      <c r="D12" s="54"/>
      <c r="E12" s="53"/>
      <c r="F12" s="52"/>
      <c r="G12" s="53"/>
      <c r="H12" s="53"/>
      <c r="I12" s="53"/>
    </row>
    <row r="13" spans="1:78" hidden="1" x14ac:dyDescent="0.25">
      <c r="A13" s="15">
        <f t="shared" si="0"/>
        <v>6.9444444444444441E-3</v>
      </c>
      <c r="B13" s="16">
        <v>10</v>
      </c>
      <c r="C13" s="52"/>
      <c r="D13" s="54"/>
      <c r="E13" s="53"/>
      <c r="F13" s="52"/>
      <c r="G13" s="53"/>
      <c r="H13" s="53"/>
      <c r="I13" s="53"/>
    </row>
    <row r="14" spans="1:78" hidden="1" x14ac:dyDescent="0.25">
      <c r="A14" s="15">
        <f t="shared" si="0"/>
        <v>1.0416666666666666E-2</v>
      </c>
      <c r="B14" s="16">
        <v>15</v>
      </c>
      <c r="C14" s="55"/>
      <c r="D14" s="53"/>
      <c r="E14" s="52"/>
      <c r="F14" s="53"/>
      <c r="G14" s="53"/>
      <c r="H14" s="53"/>
      <c r="I14" s="53"/>
    </row>
    <row r="15" spans="1:78" hidden="1" x14ac:dyDescent="0.25">
      <c r="A15" s="15">
        <f t="shared" si="0"/>
        <v>1.3888888888888888E-2</v>
      </c>
      <c r="B15" s="16">
        <v>20</v>
      </c>
      <c r="C15" s="55"/>
      <c r="D15" s="53"/>
      <c r="E15" s="52"/>
      <c r="F15" s="53"/>
      <c r="G15" s="53"/>
      <c r="H15" s="53"/>
      <c r="I15" s="53"/>
    </row>
    <row r="16" spans="1:78" hidden="1" x14ac:dyDescent="0.25">
      <c r="A16" s="15">
        <f t="shared" si="0"/>
        <v>1.7361111111111112E-2</v>
      </c>
      <c r="B16" s="16">
        <v>25</v>
      </c>
      <c r="C16" s="55"/>
      <c r="D16" s="53"/>
      <c r="E16" s="52"/>
      <c r="F16" s="53"/>
      <c r="G16" s="53"/>
      <c r="H16" s="53"/>
      <c r="I16" s="53"/>
    </row>
    <row r="17" spans="1:9" hidden="1" x14ac:dyDescent="0.25">
      <c r="A17" s="15">
        <f t="shared" si="0"/>
        <v>2.0833333333333332E-2</v>
      </c>
      <c r="B17" s="16">
        <v>30</v>
      </c>
      <c r="C17" s="55"/>
      <c r="D17" s="53"/>
      <c r="E17" s="52"/>
      <c r="F17" s="53"/>
      <c r="G17" s="53"/>
      <c r="H17" s="53"/>
      <c r="I17" s="53"/>
    </row>
    <row r="18" spans="1:9" hidden="1" x14ac:dyDescent="0.25">
      <c r="A18" s="15">
        <f t="shared" si="0"/>
        <v>2.4305555555555556E-2</v>
      </c>
      <c r="B18" s="16">
        <v>35</v>
      </c>
      <c r="C18" s="55"/>
      <c r="D18" s="53"/>
      <c r="E18" s="52"/>
      <c r="F18" s="53"/>
      <c r="G18" s="53"/>
      <c r="H18" s="53"/>
      <c r="I18" s="53"/>
    </row>
    <row r="19" spans="1:9" hidden="1" x14ac:dyDescent="0.25">
      <c r="A19" s="15">
        <f t="shared" si="0"/>
        <v>2.7777777777777776E-2</v>
      </c>
      <c r="B19" s="16">
        <v>40</v>
      </c>
      <c r="C19" s="55"/>
      <c r="D19" s="53"/>
      <c r="E19" s="52"/>
      <c r="F19" s="53"/>
      <c r="G19" s="53"/>
      <c r="H19" s="53"/>
      <c r="I19" s="53"/>
    </row>
    <row r="20" spans="1:9" hidden="1" x14ac:dyDescent="0.25">
      <c r="A20" s="15">
        <f t="shared" si="0"/>
        <v>3.125E-2</v>
      </c>
      <c r="B20" s="16">
        <v>45</v>
      </c>
      <c r="C20" s="55"/>
      <c r="D20" s="53"/>
      <c r="E20" s="52"/>
      <c r="F20" s="53"/>
      <c r="G20" s="53"/>
      <c r="H20" s="53"/>
      <c r="I20" s="53"/>
    </row>
    <row r="21" spans="1:9" hidden="1" x14ac:dyDescent="0.25">
      <c r="A21" s="15">
        <f t="shared" si="0"/>
        <v>3.4722222222222224E-2</v>
      </c>
      <c r="B21" s="16">
        <v>50</v>
      </c>
      <c r="C21" s="55"/>
      <c r="D21" s="53"/>
      <c r="E21" s="52"/>
      <c r="F21" s="53"/>
      <c r="G21" s="53"/>
      <c r="H21" s="53"/>
      <c r="I21" s="53"/>
    </row>
    <row r="22" spans="1:9" hidden="1" x14ac:dyDescent="0.25">
      <c r="A22" s="15">
        <f t="shared" si="0"/>
        <v>3.8194444444444441E-2</v>
      </c>
      <c r="B22" s="16">
        <v>55</v>
      </c>
      <c r="C22" s="55"/>
      <c r="D22" s="53"/>
      <c r="E22" s="52"/>
      <c r="F22" s="53"/>
      <c r="G22" s="53"/>
      <c r="H22" s="53"/>
      <c r="I22" s="53"/>
    </row>
    <row r="23" spans="1:9" hidden="1" x14ac:dyDescent="0.25">
      <c r="A23" s="15">
        <f t="shared" si="0"/>
        <v>4.1666666666666664E-2</v>
      </c>
      <c r="B23" s="16">
        <v>60</v>
      </c>
      <c r="C23" s="55"/>
      <c r="D23" s="53"/>
      <c r="E23" s="52"/>
      <c r="F23" s="53"/>
      <c r="G23" s="53"/>
      <c r="H23" s="53"/>
      <c r="I23" s="53"/>
    </row>
    <row r="24" spans="1:9" hidden="1" x14ac:dyDescent="0.25">
      <c r="A24" s="15">
        <f t="shared" si="0"/>
        <v>4.5138888888888888E-2</v>
      </c>
      <c r="B24" s="16">
        <v>65</v>
      </c>
      <c r="C24" s="55"/>
      <c r="D24" s="53"/>
      <c r="E24" s="52"/>
      <c r="F24" s="53"/>
      <c r="G24" s="53"/>
      <c r="H24" s="53"/>
      <c r="I24" s="53"/>
    </row>
    <row r="25" spans="1:9" hidden="1" x14ac:dyDescent="0.25">
      <c r="A25" s="15">
        <f t="shared" si="0"/>
        <v>4.8611111111111112E-2</v>
      </c>
      <c r="B25" s="16">
        <v>70</v>
      </c>
      <c r="C25" s="55"/>
      <c r="D25" s="53"/>
      <c r="E25" s="52"/>
      <c r="F25" s="53"/>
      <c r="G25" s="53"/>
      <c r="H25" s="53"/>
      <c r="I25" s="53"/>
    </row>
    <row r="26" spans="1:9" hidden="1" x14ac:dyDescent="0.25">
      <c r="A26" s="15">
        <f t="shared" si="0"/>
        <v>5.2083333333333336E-2</v>
      </c>
      <c r="B26" s="16">
        <v>75</v>
      </c>
      <c r="C26" s="55"/>
      <c r="D26" s="53"/>
      <c r="E26" s="52"/>
      <c r="F26" s="53"/>
      <c r="G26" s="53"/>
      <c r="H26" s="53"/>
      <c r="I26" s="53"/>
    </row>
    <row r="27" spans="1:9" hidden="1" x14ac:dyDescent="0.25">
      <c r="A27" s="15">
        <f t="shared" si="0"/>
        <v>5.5555555555555552E-2</v>
      </c>
      <c r="B27" s="16">
        <v>80</v>
      </c>
      <c r="C27" s="55"/>
      <c r="D27" s="53"/>
      <c r="E27" s="52"/>
      <c r="F27" s="53"/>
      <c r="G27" s="53"/>
      <c r="H27" s="53"/>
      <c r="I27" s="53"/>
    </row>
    <row r="28" spans="1:9" hidden="1" x14ac:dyDescent="0.25">
      <c r="A28" s="15">
        <f t="shared" si="0"/>
        <v>5.9027777777777783E-2</v>
      </c>
      <c r="B28" s="16">
        <v>85</v>
      </c>
      <c r="C28" s="55"/>
      <c r="D28" s="53"/>
      <c r="E28" s="52"/>
      <c r="F28" s="53"/>
      <c r="G28" s="53"/>
      <c r="H28" s="53"/>
      <c r="I28" s="53"/>
    </row>
    <row r="29" spans="1:9" hidden="1" x14ac:dyDescent="0.25">
      <c r="A29" s="15">
        <f t="shared" si="0"/>
        <v>6.25E-2</v>
      </c>
      <c r="B29" s="16">
        <v>90</v>
      </c>
      <c r="C29" s="52"/>
      <c r="D29" s="53"/>
      <c r="E29" s="53"/>
      <c r="F29" s="53"/>
      <c r="G29" s="53"/>
      <c r="H29" s="53"/>
      <c r="I29" s="53"/>
    </row>
    <row r="30" spans="1:9" hidden="1" x14ac:dyDescent="0.25">
      <c r="A30" s="15">
        <f t="shared" si="0"/>
        <v>6.5972222222222224E-2</v>
      </c>
      <c r="B30" s="16">
        <v>95</v>
      </c>
      <c r="C30" s="52"/>
      <c r="D30" s="53"/>
      <c r="E30" s="53"/>
      <c r="F30" s="53"/>
      <c r="G30" s="53"/>
      <c r="H30" s="53"/>
      <c r="I30" s="53"/>
    </row>
    <row r="31" spans="1:9" hidden="1" x14ac:dyDescent="0.25">
      <c r="A31" s="15">
        <f t="shared" si="0"/>
        <v>6.9444444444444448E-2</v>
      </c>
      <c r="B31" s="16">
        <v>100</v>
      </c>
      <c r="C31" s="52"/>
      <c r="D31" s="53"/>
      <c r="E31" s="53"/>
      <c r="F31" s="53"/>
      <c r="G31" s="53"/>
      <c r="H31" s="53"/>
      <c r="I31" s="53"/>
    </row>
    <row r="32" spans="1:9" hidden="1" x14ac:dyDescent="0.25">
      <c r="A32" s="15">
        <f t="shared" si="0"/>
        <v>7.2916666666666671E-2</v>
      </c>
      <c r="B32" s="16">
        <v>105</v>
      </c>
      <c r="C32" s="52"/>
      <c r="D32" s="53"/>
      <c r="E32" s="53"/>
      <c r="F32" s="53"/>
      <c r="G32" s="53"/>
      <c r="H32" s="53"/>
      <c r="I32" s="53"/>
    </row>
    <row r="33" spans="1:9" hidden="1" x14ac:dyDescent="0.25">
      <c r="A33" s="15">
        <f t="shared" si="0"/>
        <v>7.6388888888888881E-2</v>
      </c>
      <c r="B33" s="16">
        <v>110</v>
      </c>
      <c r="C33" s="52"/>
      <c r="D33" s="53"/>
      <c r="E33" s="53"/>
      <c r="F33" s="53"/>
      <c r="G33" s="53"/>
      <c r="H33" s="53"/>
      <c r="I33" s="53"/>
    </row>
    <row r="34" spans="1:9" hidden="1" x14ac:dyDescent="0.25">
      <c r="A34" s="15">
        <f t="shared" si="0"/>
        <v>7.9861111111111119E-2</v>
      </c>
      <c r="B34" s="16">
        <v>115</v>
      </c>
      <c r="C34" s="52"/>
      <c r="D34" s="53"/>
      <c r="E34" s="53"/>
      <c r="F34" s="53"/>
      <c r="G34" s="53"/>
      <c r="H34" s="53"/>
      <c r="I34" s="53"/>
    </row>
    <row r="35" spans="1:9" hidden="1" x14ac:dyDescent="0.25">
      <c r="A35" s="15">
        <f t="shared" si="0"/>
        <v>8.3333333333333329E-2</v>
      </c>
      <c r="B35" s="16">
        <v>120</v>
      </c>
      <c r="C35" s="52"/>
      <c r="D35" s="53"/>
      <c r="E35" s="53"/>
      <c r="F35" s="53"/>
      <c r="G35" s="53"/>
      <c r="H35" s="53"/>
      <c r="I35" s="53"/>
    </row>
    <row r="36" spans="1:9" hidden="1" x14ac:dyDescent="0.25">
      <c r="A36" s="15">
        <f t="shared" si="0"/>
        <v>8.6805555555555566E-2</v>
      </c>
      <c r="B36" s="16">
        <v>125</v>
      </c>
      <c r="C36" s="52"/>
      <c r="D36" s="53"/>
      <c r="E36" s="53"/>
      <c r="F36" s="53"/>
      <c r="G36" s="53"/>
      <c r="H36" s="53"/>
      <c r="I36" s="53"/>
    </row>
    <row r="37" spans="1:9" hidden="1" x14ac:dyDescent="0.25">
      <c r="A37" s="15">
        <f t="shared" si="0"/>
        <v>9.0277777777777776E-2</v>
      </c>
      <c r="B37" s="16">
        <v>130</v>
      </c>
      <c r="C37" s="52"/>
      <c r="D37" s="53"/>
      <c r="E37" s="53"/>
      <c r="F37" s="53"/>
      <c r="G37" s="53"/>
      <c r="H37" s="53"/>
      <c r="I37" s="53"/>
    </row>
    <row r="38" spans="1:9" hidden="1" x14ac:dyDescent="0.25">
      <c r="A38" s="15">
        <f t="shared" si="0"/>
        <v>9.375E-2</v>
      </c>
      <c r="B38" s="16">
        <v>135</v>
      </c>
      <c r="C38" s="52"/>
      <c r="D38" s="53"/>
      <c r="E38" s="53"/>
      <c r="F38" s="53"/>
      <c r="G38" s="53"/>
      <c r="H38" s="53"/>
      <c r="I38" s="53"/>
    </row>
    <row r="39" spans="1:9" hidden="1" x14ac:dyDescent="0.25">
      <c r="A39" s="15">
        <f t="shared" si="0"/>
        <v>9.7222222222222224E-2</v>
      </c>
      <c r="B39" s="16">
        <v>140</v>
      </c>
      <c r="C39" s="52"/>
      <c r="D39" s="53"/>
      <c r="E39" s="53"/>
      <c r="F39" s="53"/>
      <c r="G39" s="53"/>
      <c r="H39" s="53"/>
      <c r="I39" s="53"/>
    </row>
    <row r="40" spans="1:9" hidden="1" x14ac:dyDescent="0.25">
      <c r="A40" s="15">
        <f t="shared" si="0"/>
        <v>0.10069444444444443</v>
      </c>
      <c r="B40" s="16">
        <v>145</v>
      </c>
      <c r="C40" s="52"/>
      <c r="D40" s="53"/>
      <c r="E40" s="53"/>
      <c r="F40" s="53"/>
      <c r="G40" s="53"/>
      <c r="H40" s="53"/>
      <c r="I40" s="53"/>
    </row>
    <row r="41" spans="1:9" hidden="1" x14ac:dyDescent="0.25">
      <c r="A41" s="15">
        <f t="shared" si="0"/>
        <v>0.10416666666666667</v>
      </c>
      <c r="B41" s="16">
        <v>150</v>
      </c>
      <c r="C41" s="52"/>
      <c r="D41" s="53"/>
      <c r="E41" s="53"/>
      <c r="F41" s="53"/>
      <c r="G41" s="53"/>
      <c r="H41" s="53"/>
      <c r="I41" s="53"/>
    </row>
    <row r="42" spans="1:9" hidden="1" x14ac:dyDescent="0.25">
      <c r="A42" s="15">
        <f t="shared" si="0"/>
        <v>0.1076388888888889</v>
      </c>
      <c r="B42" s="16">
        <v>155</v>
      </c>
      <c r="C42" s="52"/>
      <c r="D42" s="53"/>
      <c r="E42" s="53"/>
      <c r="F42" s="53"/>
      <c r="G42" s="53"/>
      <c r="H42" s="53"/>
      <c r="I42" s="53"/>
    </row>
    <row r="43" spans="1:9" hidden="1" x14ac:dyDescent="0.25">
      <c r="A43" s="15">
        <f t="shared" si="0"/>
        <v>0.1111111111111111</v>
      </c>
      <c r="B43" s="16">
        <v>160</v>
      </c>
      <c r="C43" s="52"/>
      <c r="D43" s="53"/>
      <c r="E43" s="53"/>
      <c r="F43" s="53"/>
      <c r="G43" s="53"/>
      <c r="H43" s="53"/>
      <c r="I43" s="53"/>
    </row>
    <row r="44" spans="1:9" hidden="1" x14ac:dyDescent="0.25">
      <c r="A44" s="15">
        <f t="shared" si="0"/>
        <v>0.11458333333333333</v>
      </c>
      <c r="B44" s="16">
        <v>165</v>
      </c>
      <c r="C44" s="52"/>
      <c r="D44" s="53"/>
      <c r="E44" s="53"/>
      <c r="F44" s="53"/>
      <c r="G44" s="53"/>
      <c r="H44" s="53"/>
      <c r="I44" s="53"/>
    </row>
    <row r="45" spans="1:9" hidden="1" x14ac:dyDescent="0.25">
      <c r="A45" s="15">
        <f t="shared" si="0"/>
        <v>0.11805555555555557</v>
      </c>
      <c r="B45" s="16">
        <v>170</v>
      </c>
      <c r="C45" s="52"/>
      <c r="D45" s="53"/>
      <c r="E45" s="53"/>
      <c r="F45" s="53"/>
      <c r="G45" s="53"/>
      <c r="H45" s="53"/>
      <c r="I45" s="53"/>
    </row>
    <row r="46" spans="1:9" hidden="1" x14ac:dyDescent="0.25">
      <c r="A46" s="15">
        <f t="shared" si="0"/>
        <v>0.12152777777777778</v>
      </c>
      <c r="B46" s="16">
        <v>175</v>
      </c>
      <c r="C46" s="52"/>
      <c r="D46" s="53"/>
      <c r="E46" s="53"/>
      <c r="F46" s="53"/>
      <c r="G46" s="53"/>
      <c r="H46" s="53"/>
      <c r="I46" s="53"/>
    </row>
    <row r="47" spans="1:9" hidden="1" x14ac:dyDescent="0.25">
      <c r="A47" s="15">
        <f t="shared" si="0"/>
        <v>0.125</v>
      </c>
      <c r="B47" s="16">
        <v>180</v>
      </c>
      <c r="C47" s="52"/>
      <c r="D47" s="53"/>
      <c r="E47" s="53"/>
      <c r="F47" s="53"/>
      <c r="G47" s="53"/>
      <c r="H47" s="53"/>
      <c r="I47" s="53"/>
    </row>
    <row r="48" spans="1:9" hidden="1" x14ac:dyDescent="0.25">
      <c r="A48" s="15">
        <f t="shared" si="0"/>
        <v>0.12847222222222224</v>
      </c>
      <c r="B48" s="16">
        <v>185</v>
      </c>
      <c r="C48" s="52"/>
      <c r="D48" s="53"/>
      <c r="E48" s="53"/>
      <c r="F48" s="53"/>
      <c r="G48" s="53"/>
      <c r="H48" s="53"/>
      <c r="I48" s="53"/>
    </row>
    <row r="49" spans="1:9" hidden="1" x14ac:dyDescent="0.25">
      <c r="A49" s="15">
        <f t="shared" si="0"/>
        <v>0.13194444444444445</v>
      </c>
      <c r="B49" s="16">
        <v>190</v>
      </c>
      <c r="C49" s="52"/>
      <c r="D49" s="53"/>
      <c r="E49" s="53"/>
      <c r="F49" s="53"/>
      <c r="G49" s="53"/>
      <c r="H49" s="53"/>
      <c r="I49" s="53"/>
    </row>
    <row r="50" spans="1:9" hidden="1" x14ac:dyDescent="0.25">
      <c r="A50" s="15">
        <f t="shared" si="0"/>
        <v>0.13541666666666666</v>
      </c>
      <c r="B50" s="16">
        <v>195</v>
      </c>
      <c r="C50" s="52"/>
      <c r="D50" s="53"/>
      <c r="E50" s="53"/>
      <c r="F50" s="53"/>
      <c r="G50" s="53"/>
      <c r="H50" s="53"/>
      <c r="I50" s="53"/>
    </row>
    <row r="51" spans="1:9" hidden="1" x14ac:dyDescent="0.25">
      <c r="A51" s="15">
        <f t="shared" si="0"/>
        <v>0.1388888888888889</v>
      </c>
      <c r="B51" s="16">
        <v>200</v>
      </c>
      <c r="C51" s="52"/>
      <c r="D51" s="53"/>
      <c r="E51" s="53"/>
      <c r="F51" s="53"/>
      <c r="G51" s="53"/>
      <c r="H51" s="53"/>
      <c r="I51" s="53"/>
    </row>
    <row r="52" spans="1:9" hidden="1" x14ac:dyDescent="0.25">
      <c r="A52" s="15">
        <f t="shared" si="0"/>
        <v>0.1423611111111111</v>
      </c>
      <c r="B52" s="16">
        <v>205</v>
      </c>
      <c r="C52" s="52"/>
      <c r="D52" s="53"/>
      <c r="E52" s="53"/>
      <c r="F52" s="53"/>
      <c r="G52" s="53"/>
      <c r="H52" s="53"/>
      <c r="I52" s="53"/>
    </row>
    <row r="53" spans="1:9" hidden="1" x14ac:dyDescent="0.25">
      <c r="A53" s="15">
        <f t="shared" si="0"/>
        <v>0.14583333333333334</v>
      </c>
      <c r="B53" s="16">
        <v>210</v>
      </c>
      <c r="C53" s="52"/>
      <c r="D53" s="53"/>
      <c r="E53" s="53"/>
      <c r="F53" s="53"/>
      <c r="G53" s="53"/>
      <c r="H53" s="53"/>
      <c r="I53" s="53"/>
    </row>
    <row r="54" spans="1:9" hidden="1" x14ac:dyDescent="0.25">
      <c r="A54" s="15">
        <f t="shared" si="0"/>
        <v>0.14930555555555555</v>
      </c>
      <c r="B54" s="16">
        <v>215</v>
      </c>
      <c r="C54" s="52"/>
      <c r="D54" s="53"/>
      <c r="E54" s="53"/>
      <c r="F54" s="53"/>
      <c r="G54" s="53"/>
      <c r="H54" s="53"/>
      <c r="I54" s="53"/>
    </row>
    <row r="55" spans="1:9" hidden="1" x14ac:dyDescent="0.25">
      <c r="A55" s="15">
        <f t="shared" si="0"/>
        <v>0.15277777777777776</v>
      </c>
      <c r="B55" s="16">
        <v>220</v>
      </c>
      <c r="C55" s="52"/>
      <c r="D55" s="53"/>
      <c r="E55" s="53"/>
      <c r="F55" s="53"/>
      <c r="G55" s="53"/>
      <c r="H55" s="53"/>
      <c r="I55" s="53"/>
    </row>
    <row r="56" spans="1:9" hidden="1" x14ac:dyDescent="0.25">
      <c r="A56" s="15">
        <f t="shared" si="0"/>
        <v>0.15625</v>
      </c>
      <c r="B56" s="16">
        <v>225</v>
      </c>
      <c r="C56" s="52"/>
      <c r="D56" s="53"/>
      <c r="E56" s="53"/>
      <c r="F56" s="53"/>
      <c r="G56" s="53"/>
      <c r="H56" s="53"/>
      <c r="I56" s="53"/>
    </row>
    <row r="57" spans="1:9" hidden="1" x14ac:dyDescent="0.25">
      <c r="A57" s="15">
        <f t="shared" si="0"/>
        <v>0.15972222222222224</v>
      </c>
      <c r="B57" s="16">
        <v>230</v>
      </c>
      <c r="C57" s="52"/>
      <c r="D57" s="53"/>
      <c r="E57" s="53"/>
      <c r="F57" s="53"/>
      <c r="G57" s="53"/>
      <c r="H57" s="53"/>
      <c r="I57" s="53"/>
    </row>
    <row r="58" spans="1:9" hidden="1" x14ac:dyDescent="0.25">
      <c r="A58" s="15">
        <f t="shared" si="0"/>
        <v>0.16319444444444445</v>
      </c>
      <c r="B58" s="16">
        <v>235</v>
      </c>
      <c r="C58" s="52"/>
      <c r="D58" s="53"/>
      <c r="E58" s="53"/>
      <c r="F58" s="53"/>
      <c r="G58" s="53"/>
      <c r="H58" s="53"/>
      <c r="I58" s="53"/>
    </row>
    <row r="59" spans="1:9" hidden="1" x14ac:dyDescent="0.25">
      <c r="A59" s="15">
        <f t="shared" si="0"/>
        <v>0.16666666666666666</v>
      </c>
      <c r="B59" s="16">
        <v>240</v>
      </c>
      <c r="C59" s="52"/>
      <c r="D59" s="53"/>
      <c r="E59" s="53"/>
      <c r="F59" s="53"/>
      <c r="G59" s="53"/>
      <c r="H59" s="53"/>
      <c r="I59" s="53"/>
    </row>
    <row r="60" spans="1:9" hidden="1" x14ac:dyDescent="0.25">
      <c r="A60" s="15">
        <f t="shared" si="0"/>
        <v>0.17013888888888887</v>
      </c>
      <c r="B60" s="16">
        <v>245</v>
      </c>
      <c r="C60" s="52"/>
      <c r="D60" s="53"/>
      <c r="E60" s="53"/>
      <c r="F60" s="53"/>
      <c r="G60" s="53"/>
      <c r="H60" s="53"/>
      <c r="I60" s="53"/>
    </row>
    <row r="61" spans="1:9" hidden="1" x14ac:dyDescent="0.25">
      <c r="A61" s="15">
        <f t="shared" si="0"/>
        <v>0.17361111111111113</v>
      </c>
      <c r="B61" s="16">
        <v>250</v>
      </c>
      <c r="C61" s="52"/>
      <c r="D61" s="53"/>
      <c r="E61" s="53"/>
      <c r="F61" s="53"/>
      <c r="G61" s="53"/>
      <c r="H61" s="53"/>
      <c r="I61" s="53"/>
    </row>
    <row r="62" spans="1:9" hidden="1" x14ac:dyDescent="0.25">
      <c r="A62" s="15">
        <f t="shared" si="0"/>
        <v>0.17708333333333334</v>
      </c>
      <c r="B62" s="16">
        <v>255</v>
      </c>
      <c r="C62" s="52"/>
      <c r="D62" s="53"/>
      <c r="E62" s="53"/>
      <c r="F62" s="53"/>
      <c r="G62" s="53"/>
      <c r="H62" s="53"/>
      <c r="I62" s="53"/>
    </row>
    <row r="63" spans="1:9" hidden="1" x14ac:dyDescent="0.25">
      <c r="A63" s="15">
        <f t="shared" si="0"/>
        <v>0.18055555555555555</v>
      </c>
      <c r="B63" s="16">
        <v>260</v>
      </c>
      <c r="C63" s="52"/>
      <c r="D63" s="53"/>
      <c r="E63" s="53"/>
      <c r="F63" s="53"/>
      <c r="G63" s="53"/>
      <c r="H63" s="53"/>
      <c r="I63" s="53"/>
    </row>
    <row r="64" spans="1:9" hidden="1" x14ac:dyDescent="0.25">
      <c r="A64" s="15">
        <f t="shared" si="0"/>
        <v>0.18402777777777779</v>
      </c>
      <c r="B64" s="16">
        <v>265</v>
      </c>
      <c r="C64" s="52"/>
      <c r="D64" s="53"/>
      <c r="E64" s="53"/>
      <c r="F64" s="53"/>
      <c r="G64" s="53"/>
      <c r="H64" s="53"/>
      <c r="I64" s="53"/>
    </row>
    <row r="65" spans="1:9" hidden="1" x14ac:dyDescent="0.25">
      <c r="A65" s="15">
        <f t="shared" si="0"/>
        <v>0.1875</v>
      </c>
      <c r="B65" s="16">
        <v>270</v>
      </c>
      <c r="C65" s="52"/>
      <c r="D65" s="53"/>
      <c r="E65" s="53"/>
      <c r="F65" s="53"/>
      <c r="G65" s="53"/>
      <c r="H65" s="53"/>
      <c r="I65" s="53"/>
    </row>
    <row r="66" spans="1:9" hidden="1" x14ac:dyDescent="0.25">
      <c r="A66" s="15">
        <f t="shared" si="0"/>
        <v>0.19097222222222221</v>
      </c>
      <c r="B66" s="16">
        <v>275</v>
      </c>
      <c r="C66" s="52"/>
      <c r="D66" s="53"/>
      <c r="E66" s="53"/>
      <c r="F66" s="53"/>
      <c r="G66" s="53"/>
      <c r="H66" s="53"/>
      <c r="I66" s="53"/>
    </row>
    <row r="67" spans="1:9" hidden="1" x14ac:dyDescent="0.25">
      <c r="A67" s="15">
        <f t="shared" si="0"/>
        <v>0.19444444444444445</v>
      </c>
      <c r="B67" s="16">
        <v>280</v>
      </c>
      <c r="C67" s="52"/>
      <c r="D67" s="53"/>
      <c r="E67" s="53"/>
      <c r="F67" s="53"/>
      <c r="G67" s="53"/>
      <c r="H67" s="53"/>
      <c r="I67" s="53"/>
    </row>
    <row r="68" spans="1:9" hidden="1" x14ac:dyDescent="0.25">
      <c r="A68" s="15">
        <f t="shared" si="0"/>
        <v>0.19791666666666666</v>
      </c>
      <c r="B68" s="16">
        <v>285</v>
      </c>
      <c r="C68" s="52"/>
      <c r="D68" s="53"/>
      <c r="E68" s="53"/>
      <c r="F68" s="53"/>
      <c r="G68" s="53"/>
      <c r="H68" s="53"/>
      <c r="I68" s="53"/>
    </row>
    <row r="69" spans="1:9" hidden="1" x14ac:dyDescent="0.25">
      <c r="A69" s="15">
        <f t="shared" si="0"/>
        <v>0.20138888888888887</v>
      </c>
      <c r="B69" s="16">
        <v>290</v>
      </c>
      <c r="C69" s="52"/>
      <c r="D69" s="53"/>
      <c r="E69" s="53"/>
      <c r="F69" s="53"/>
      <c r="G69" s="53"/>
      <c r="H69" s="53"/>
      <c r="I69" s="53"/>
    </row>
    <row r="70" spans="1:9" hidden="1" x14ac:dyDescent="0.25">
      <c r="A70" s="15">
        <f t="shared" si="0"/>
        <v>0.20486111111111113</v>
      </c>
      <c r="B70" s="16">
        <v>295</v>
      </c>
      <c r="C70" s="52"/>
      <c r="D70" s="53"/>
      <c r="E70" s="53"/>
      <c r="F70" s="53"/>
      <c r="G70" s="53"/>
      <c r="H70" s="53"/>
      <c r="I70" s="53"/>
    </row>
    <row r="71" spans="1:9" hidden="1" x14ac:dyDescent="0.25">
      <c r="A71" s="15">
        <f t="shared" si="0"/>
        <v>0.20833333333333334</v>
      </c>
      <c r="B71" s="17">
        <v>300</v>
      </c>
      <c r="C71" s="68"/>
      <c r="D71" s="53"/>
      <c r="E71" s="53"/>
      <c r="F71" s="53"/>
      <c r="G71" s="53"/>
      <c r="H71" s="53"/>
      <c r="I71" s="53"/>
    </row>
    <row r="72" spans="1:9" hidden="1" x14ac:dyDescent="0.25">
      <c r="A72" s="15">
        <f t="shared" si="0"/>
        <v>0.21180555555555555</v>
      </c>
      <c r="B72" s="17">
        <v>305</v>
      </c>
      <c r="C72" s="68"/>
      <c r="D72" s="54"/>
      <c r="E72" s="54"/>
      <c r="F72" s="53"/>
      <c r="G72" s="52"/>
      <c r="H72" s="53"/>
      <c r="I72" s="53"/>
    </row>
    <row r="73" spans="1:9" hidden="1" x14ac:dyDescent="0.25">
      <c r="A73" s="15">
        <f t="shared" si="0"/>
        <v>0.21527777777777779</v>
      </c>
      <c r="B73" s="17">
        <v>310</v>
      </c>
      <c r="C73" s="68"/>
      <c r="D73" s="53"/>
      <c r="E73" s="53"/>
      <c r="F73" s="53"/>
      <c r="G73" s="53"/>
      <c r="H73" s="53"/>
      <c r="I73" s="53"/>
    </row>
    <row r="74" spans="1:9" hidden="1" x14ac:dyDescent="0.25">
      <c r="A74" s="15">
        <f t="shared" si="0"/>
        <v>0.21875</v>
      </c>
      <c r="B74" s="17">
        <v>315</v>
      </c>
      <c r="C74" s="68"/>
      <c r="D74" s="53"/>
      <c r="E74" s="53"/>
      <c r="F74" s="53"/>
      <c r="G74" s="53"/>
      <c r="H74" s="53"/>
      <c r="I74" s="53"/>
    </row>
    <row r="75" spans="1:9" hidden="1" x14ac:dyDescent="0.25">
      <c r="A75" s="15">
        <f t="shared" si="0"/>
        <v>0.22222222222222221</v>
      </c>
      <c r="B75" s="17">
        <v>320</v>
      </c>
      <c r="C75" s="17"/>
      <c r="D75" s="53"/>
      <c r="E75" s="52"/>
      <c r="F75" s="53"/>
      <c r="G75" s="53"/>
      <c r="H75" s="53"/>
      <c r="I75" s="53"/>
    </row>
    <row r="76" spans="1:9" hidden="1" x14ac:dyDescent="0.25">
      <c r="A76" s="15">
        <f t="shared" ref="A76:A139" si="1">TIME(,B76,)</f>
        <v>0.22569444444444445</v>
      </c>
      <c r="B76" s="17">
        <v>325</v>
      </c>
      <c r="C76" s="17"/>
      <c r="D76" s="54"/>
      <c r="E76" s="54"/>
      <c r="F76" s="53"/>
      <c r="G76" s="52"/>
      <c r="H76" s="53"/>
      <c r="I76" s="53"/>
    </row>
    <row r="77" spans="1:9" hidden="1" x14ac:dyDescent="0.25">
      <c r="A77" s="15">
        <f t="shared" si="1"/>
        <v>0.22916666666666666</v>
      </c>
      <c r="B77" s="17">
        <v>330</v>
      </c>
      <c r="C77" s="17"/>
      <c r="D77" s="53"/>
      <c r="E77" s="52"/>
      <c r="F77" s="53"/>
      <c r="G77" s="53"/>
      <c r="H77" s="53"/>
      <c r="I77" s="53"/>
    </row>
    <row r="78" spans="1:9" hidden="1" x14ac:dyDescent="0.25">
      <c r="A78" s="15">
        <f t="shared" si="1"/>
        <v>0.23263888888888887</v>
      </c>
      <c r="B78" s="17">
        <v>335</v>
      </c>
      <c r="C78" s="17"/>
      <c r="D78" s="53"/>
      <c r="E78" s="52"/>
      <c r="F78" s="53"/>
      <c r="G78" s="53"/>
      <c r="H78" s="53"/>
      <c r="I78" s="53"/>
    </row>
    <row r="79" spans="1:9" hidden="1" x14ac:dyDescent="0.25">
      <c r="A79" s="15">
        <f t="shared" si="1"/>
        <v>0.23611111111111113</v>
      </c>
      <c r="B79" s="17">
        <v>340</v>
      </c>
      <c r="C79" s="17"/>
      <c r="D79" s="53"/>
      <c r="E79" s="52"/>
      <c r="F79" s="53"/>
      <c r="G79" s="53"/>
      <c r="H79" s="53"/>
      <c r="I79" s="53"/>
    </row>
    <row r="80" spans="1:9" hidden="1" x14ac:dyDescent="0.25">
      <c r="A80" s="15">
        <f t="shared" si="1"/>
        <v>0.23958333333333334</v>
      </c>
      <c r="B80" s="17">
        <v>345</v>
      </c>
      <c r="C80" s="17"/>
      <c r="D80" s="53"/>
      <c r="E80" s="52"/>
      <c r="F80" s="53"/>
      <c r="G80" s="52"/>
      <c r="H80" s="53"/>
      <c r="I80" s="53"/>
    </row>
    <row r="81" spans="1:9" hidden="1" x14ac:dyDescent="0.25">
      <c r="A81" s="15">
        <f t="shared" si="1"/>
        <v>0.24305555555555555</v>
      </c>
      <c r="B81" s="17">
        <v>350</v>
      </c>
      <c r="C81" s="17"/>
      <c r="D81" s="53"/>
      <c r="E81" s="52"/>
      <c r="F81" s="53"/>
      <c r="G81" s="52"/>
      <c r="H81" s="53"/>
      <c r="I81" s="53"/>
    </row>
    <row r="82" spans="1:9" hidden="1" x14ac:dyDescent="0.25">
      <c r="A82" s="15">
        <f t="shared" si="1"/>
        <v>0.24652777777777779</v>
      </c>
      <c r="B82" s="17">
        <v>355</v>
      </c>
      <c r="C82" s="17"/>
      <c r="D82" s="53"/>
      <c r="E82" s="52"/>
      <c r="F82" s="53"/>
      <c r="G82" s="53"/>
      <c r="H82" s="53"/>
      <c r="I82" s="53"/>
    </row>
    <row r="83" spans="1:9" hidden="1" x14ac:dyDescent="0.25">
      <c r="A83" s="15">
        <f t="shared" si="1"/>
        <v>0.25</v>
      </c>
      <c r="B83" s="17">
        <v>360</v>
      </c>
      <c r="C83" s="17"/>
      <c r="D83" s="53"/>
      <c r="E83" s="52"/>
      <c r="F83" s="54"/>
      <c r="G83" s="53"/>
      <c r="H83" s="52"/>
      <c r="I83" s="53"/>
    </row>
    <row r="84" spans="1:9" hidden="1" x14ac:dyDescent="0.25">
      <c r="A84" s="15">
        <f t="shared" si="1"/>
        <v>0.25347222222222221</v>
      </c>
      <c r="B84" s="17">
        <v>365</v>
      </c>
      <c r="C84" s="17"/>
      <c r="D84" s="53"/>
      <c r="E84" s="52"/>
      <c r="F84" s="54"/>
      <c r="G84" s="53"/>
      <c r="H84" s="52"/>
      <c r="I84" s="53"/>
    </row>
    <row r="85" spans="1:9" hidden="1" x14ac:dyDescent="0.25">
      <c r="A85" s="15">
        <f t="shared" si="1"/>
        <v>0.25694444444444448</v>
      </c>
      <c r="B85" s="17">
        <v>370</v>
      </c>
      <c r="C85" s="68"/>
      <c r="D85" s="53"/>
      <c r="E85" s="52"/>
      <c r="F85" s="54"/>
      <c r="G85" s="53"/>
      <c r="H85" s="52"/>
      <c r="I85" s="53"/>
    </row>
    <row r="86" spans="1:9" hidden="1" x14ac:dyDescent="0.25">
      <c r="A86" s="15">
        <f t="shared" si="1"/>
        <v>0.26041666666666669</v>
      </c>
      <c r="B86" s="17">
        <v>375</v>
      </c>
      <c r="C86" s="68"/>
      <c r="D86" s="53"/>
      <c r="E86" s="52"/>
      <c r="F86" s="54"/>
      <c r="G86" s="53"/>
      <c r="H86" s="52"/>
      <c r="I86" s="53"/>
    </row>
    <row r="87" spans="1:9" hidden="1" x14ac:dyDescent="0.25">
      <c r="A87" s="15">
        <f t="shared" si="1"/>
        <v>0.2638888888888889</v>
      </c>
      <c r="B87" s="17">
        <v>380</v>
      </c>
      <c r="C87" s="68"/>
      <c r="D87" s="54"/>
      <c r="E87" s="53"/>
      <c r="F87" s="55"/>
      <c r="G87" s="53"/>
      <c r="H87" s="52"/>
      <c r="I87" s="53"/>
    </row>
    <row r="88" spans="1:9" hidden="1" x14ac:dyDescent="0.25">
      <c r="A88" s="15">
        <f t="shared" si="1"/>
        <v>0.2673611111111111</v>
      </c>
      <c r="B88" s="16">
        <v>385</v>
      </c>
      <c r="C88" s="55"/>
      <c r="D88" s="53"/>
      <c r="E88" s="52"/>
      <c r="F88" s="55"/>
      <c r="G88" s="53"/>
      <c r="H88" s="52"/>
      <c r="I88" s="53"/>
    </row>
    <row r="89" spans="1:9" hidden="1" x14ac:dyDescent="0.25">
      <c r="A89" s="15">
        <f t="shared" si="1"/>
        <v>0.27083333333333331</v>
      </c>
      <c r="B89" s="17">
        <v>390</v>
      </c>
      <c r="C89" s="68"/>
      <c r="D89" s="55"/>
      <c r="E89" s="53"/>
      <c r="F89" s="55"/>
      <c r="G89" s="53"/>
      <c r="H89" s="52"/>
      <c r="I89" s="53"/>
    </row>
    <row r="90" spans="1:9" hidden="1" x14ac:dyDescent="0.25">
      <c r="A90" s="15">
        <f t="shared" si="1"/>
        <v>0.27430555555555552</v>
      </c>
      <c r="B90" s="17">
        <v>395</v>
      </c>
      <c r="C90" s="68"/>
      <c r="D90" s="55"/>
      <c r="E90" s="53"/>
      <c r="F90" s="52"/>
      <c r="G90" s="53"/>
      <c r="H90" s="53"/>
      <c r="I90" s="53"/>
    </row>
    <row r="91" spans="1:9" hidden="1" x14ac:dyDescent="0.25">
      <c r="A91" s="15">
        <f t="shared" si="1"/>
        <v>0.27777777777777779</v>
      </c>
      <c r="B91" s="17">
        <v>400</v>
      </c>
      <c r="C91" s="68"/>
      <c r="D91" s="55"/>
      <c r="E91" s="53"/>
      <c r="F91" s="52"/>
      <c r="G91" s="53"/>
      <c r="H91" s="53"/>
      <c r="I91" s="53"/>
    </row>
    <row r="92" spans="1:9" hidden="1" x14ac:dyDescent="0.25">
      <c r="A92" s="15">
        <f t="shared" si="1"/>
        <v>0.28125</v>
      </c>
      <c r="B92" s="17">
        <v>405</v>
      </c>
      <c r="C92" s="68"/>
      <c r="D92" s="55"/>
      <c r="E92" s="53"/>
      <c r="F92" s="55"/>
      <c r="G92" s="53"/>
      <c r="H92" s="52"/>
      <c r="I92" s="53"/>
    </row>
    <row r="93" spans="1:9" hidden="1" x14ac:dyDescent="0.25">
      <c r="A93" s="15">
        <f t="shared" si="1"/>
        <v>0.28472222222222221</v>
      </c>
      <c r="B93" s="17">
        <v>410</v>
      </c>
      <c r="C93" s="68"/>
      <c r="D93" s="55"/>
      <c r="E93" s="54"/>
      <c r="F93" s="53"/>
      <c r="G93" s="52"/>
      <c r="H93" s="53"/>
      <c r="I93" s="53"/>
    </row>
    <row r="94" spans="1:9" hidden="1" x14ac:dyDescent="0.25">
      <c r="A94" s="15">
        <f t="shared" si="1"/>
        <v>0.28819444444444448</v>
      </c>
      <c r="B94" s="17">
        <v>415</v>
      </c>
      <c r="C94" s="68"/>
      <c r="D94" s="55"/>
      <c r="E94" s="53"/>
      <c r="F94" s="52"/>
      <c r="G94" s="53"/>
      <c r="H94" s="53"/>
      <c r="I94" s="53"/>
    </row>
    <row r="95" spans="1:9" hidden="1" x14ac:dyDescent="0.25">
      <c r="A95" s="15">
        <f t="shared" si="1"/>
        <v>0.29166666666666669</v>
      </c>
      <c r="B95" s="17">
        <v>420</v>
      </c>
      <c r="C95" s="17"/>
      <c r="D95" s="54"/>
      <c r="E95" s="54"/>
      <c r="F95" s="54"/>
      <c r="G95" s="53"/>
      <c r="H95" s="52"/>
      <c r="I95" s="53"/>
    </row>
    <row r="96" spans="1:9" hidden="1" x14ac:dyDescent="0.25">
      <c r="A96" s="15">
        <f t="shared" si="1"/>
        <v>0.2951388888888889</v>
      </c>
      <c r="B96" s="16">
        <v>425</v>
      </c>
      <c r="C96" s="52"/>
      <c r="D96" s="54"/>
      <c r="E96" s="53"/>
      <c r="F96" s="52"/>
      <c r="G96" s="53"/>
      <c r="H96" s="53"/>
      <c r="I96" s="53"/>
    </row>
    <row r="97" spans="1:9" hidden="1" x14ac:dyDescent="0.25">
      <c r="A97" s="15">
        <f t="shared" si="1"/>
        <v>0.2986111111111111</v>
      </c>
      <c r="B97" s="16">
        <v>430</v>
      </c>
      <c r="C97" s="52"/>
      <c r="D97" s="54"/>
      <c r="E97" s="53"/>
      <c r="F97" s="52"/>
      <c r="G97" s="53"/>
      <c r="H97" s="53"/>
      <c r="I97" s="53"/>
    </row>
    <row r="98" spans="1:9" hidden="1" x14ac:dyDescent="0.25">
      <c r="A98" s="15">
        <f t="shared" si="1"/>
        <v>0.30208333333333331</v>
      </c>
      <c r="B98" s="16">
        <v>435</v>
      </c>
      <c r="C98" s="52"/>
      <c r="D98" s="54"/>
      <c r="E98" s="53"/>
      <c r="F98" s="52"/>
      <c r="G98" s="53"/>
      <c r="H98" s="53"/>
      <c r="I98" s="53"/>
    </row>
    <row r="99" spans="1:9" hidden="1" x14ac:dyDescent="0.25">
      <c r="A99" s="15">
        <f t="shared" si="1"/>
        <v>0.30555555555555552</v>
      </c>
      <c r="B99" s="17">
        <v>440</v>
      </c>
      <c r="C99" s="17"/>
      <c r="D99" s="54"/>
      <c r="E99" s="54"/>
      <c r="F99" s="54"/>
      <c r="G99" s="53"/>
      <c r="H99" s="52"/>
      <c r="I99" s="53"/>
    </row>
    <row r="100" spans="1:9" hidden="1" x14ac:dyDescent="0.25">
      <c r="A100" s="15">
        <f t="shared" si="1"/>
        <v>0.30902777777777779</v>
      </c>
      <c r="B100" s="16">
        <v>445</v>
      </c>
      <c r="C100" s="52"/>
      <c r="D100" s="54"/>
      <c r="E100" s="53"/>
      <c r="F100" s="52"/>
      <c r="G100" s="53"/>
      <c r="H100" s="53"/>
      <c r="I100" s="53"/>
    </row>
    <row r="101" spans="1:9" hidden="1" x14ac:dyDescent="0.25">
      <c r="A101" s="15">
        <f t="shared" si="1"/>
        <v>0.3125</v>
      </c>
      <c r="B101" s="16">
        <v>450</v>
      </c>
      <c r="C101" s="52"/>
      <c r="D101" s="54"/>
      <c r="E101" s="53"/>
      <c r="F101" s="52"/>
      <c r="G101" s="53"/>
      <c r="H101" s="53"/>
      <c r="I101" s="53"/>
    </row>
    <row r="102" spans="1:9" hidden="1" x14ac:dyDescent="0.25">
      <c r="A102" s="15">
        <f t="shared" si="1"/>
        <v>0.31597222222222221</v>
      </c>
      <c r="B102" s="16">
        <v>455</v>
      </c>
      <c r="C102" s="52"/>
      <c r="D102" s="54"/>
      <c r="E102" s="53"/>
      <c r="F102" s="52"/>
      <c r="G102" s="53"/>
      <c r="H102" s="53"/>
      <c r="I102" s="53"/>
    </row>
    <row r="103" spans="1:9" hidden="1" x14ac:dyDescent="0.25">
      <c r="A103" s="15">
        <f t="shared" si="1"/>
        <v>0.31944444444444448</v>
      </c>
      <c r="B103" s="17">
        <v>460</v>
      </c>
      <c r="C103" s="17"/>
      <c r="D103" s="54"/>
      <c r="E103" s="54"/>
      <c r="F103" s="54"/>
      <c r="G103" s="53"/>
      <c r="H103" s="52"/>
      <c r="I103" s="53"/>
    </row>
    <row r="104" spans="1:9" hidden="1" x14ac:dyDescent="0.25">
      <c r="A104" s="15">
        <f t="shared" si="1"/>
        <v>0.32291666666666669</v>
      </c>
      <c r="B104" s="16">
        <v>465</v>
      </c>
      <c r="C104" s="52"/>
      <c r="D104" s="54"/>
      <c r="E104" s="53"/>
      <c r="F104" s="52"/>
      <c r="G104" s="53"/>
      <c r="H104" s="53"/>
      <c r="I104" s="53"/>
    </row>
    <row r="105" spans="1:9" hidden="1" x14ac:dyDescent="0.25">
      <c r="A105" s="15">
        <f t="shared" si="1"/>
        <v>0.3263888888888889</v>
      </c>
      <c r="B105" s="16">
        <v>470</v>
      </c>
      <c r="C105" s="52"/>
      <c r="D105" s="54"/>
      <c r="E105" s="53"/>
      <c r="F105" s="52"/>
      <c r="G105" s="53"/>
      <c r="H105" s="53"/>
      <c r="I105" s="53"/>
    </row>
    <row r="106" spans="1:9" hidden="1" x14ac:dyDescent="0.25">
      <c r="A106" s="15">
        <f t="shared" si="1"/>
        <v>0.3298611111111111</v>
      </c>
      <c r="B106" s="16">
        <v>475</v>
      </c>
      <c r="C106" s="52"/>
      <c r="D106" s="54"/>
      <c r="E106" s="53"/>
      <c r="F106" s="52"/>
      <c r="G106" s="53"/>
      <c r="H106" s="53"/>
      <c r="I106" s="53"/>
    </row>
    <row r="107" spans="1:9" hidden="1" x14ac:dyDescent="0.25">
      <c r="A107" s="15">
        <f t="shared" si="1"/>
        <v>0.33333333333333331</v>
      </c>
      <c r="B107" s="17">
        <v>480</v>
      </c>
      <c r="C107" s="17"/>
      <c r="D107" s="54"/>
      <c r="E107" s="54"/>
      <c r="F107" s="53"/>
      <c r="G107" s="52"/>
      <c r="H107" s="52"/>
      <c r="I107" s="53"/>
    </row>
    <row r="108" spans="1:9" hidden="1" x14ac:dyDescent="0.25">
      <c r="A108" s="15">
        <f t="shared" si="1"/>
        <v>0.33680555555555558</v>
      </c>
      <c r="B108" s="16">
        <v>485</v>
      </c>
      <c r="C108" s="52"/>
      <c r="D108" s="53"/>
      <c r="E108" s="53"/>
      <c r="F108" s="53"/>
      <c r="G108" s="53"/>
      <c r="H108" s="53"/>
      <c r="I108" s="53"/>
    </row>
    <row r="109" spans="1:9" hidden="1" x14ac:dyDescent="0.25">
      <c r="A109" s="15">
        <f t="shared" si="1"/>
        <v>0.34027777777777773</v>
      </c>
      <c r="B109" s="16">
        <v>490</v>
      </c>
      <c r="C109" s="52"/>
      <c r="D109" s="53"/>
      <c r="E109" s="53"/>
      <c r="F109" s="53"/>
      <c r="G109" s="53"/>
      <c r="H109" s="53"/>
      <c r="I109" s="53"/>
    </row>
    <row r="110" spans="1:9" hidden="1" x14ac:dyDescent="0.25">
      <c r="A110" s="15">
        <f t="shared" si="1"/>
        <v>0.34375</v>
      </c>
      <c r="B110" s="16">
        <v>495</v>
      </c>
      <c r="C110" s="52"/>
      <c r="D110" s="53"/>
      <c r="E110" s="53"/>
      <c r="F110" s="53"/>
      <c r="G110" s="53"/>
      <c r="H110" s="53"/>
      <c r="I110" s="53"/>
    </row>
    <row r="111" spans="1:9" hidden="1" x14ac:dyDescent="0.25">
      <c r="A111" s="15">
        <f t="shared" si="1"/>
        <v>0.34722222222222227</v>
      </c>
      <c r="B111" s="17">
        <v>500</v>
      </c>
      <c r="C111" s="17"/>
      <c r="D111" s="54"/>
      <c r="E111" s="54"/>
      <c r="F111" s="53"/>
      <c r="G111" s="52"/>
      <c r="H111" s="52"/>
      <c r="I111" s="53"/>
    </row>
    <row r="112" spans="1:9" hidden="1" x14ac:dyDescent="0.25">
      <c r="A112" s="15">
        <f t="shared" si="1"/>
        <v>0.35069444444444442</v>
      </c>
      <c r="B112" s="16">
        <v>505</v>
      </c>
      <c r="C112" s="52"/>
      <c r="D112" s="53"/>
      <c r="E112" s="53"/>
      <c r="F112" s="53"/>
      <c r="G112" s="53"/>
      <c r="H112" s="53"/>
      <c r="I112" s="53"/>
    </row>
    <row r="113" spans="1:9" hidden="1" x14ac:dyDescent="0.25">
      <c r="A113" s="15">
        <f t="shared" si="1"/>
        <v>0.35416666666666669</v>
      </c>
      <c r="B113" s="17">
        <v>510</v>
      </c>
      <c r="C113" s="68"/>
      <c r="D113" s="55"/>
      <c r="E113" s="54"/>
      <c r="F113" s="54"/>
      <c r="G113" s="53"/>
      <c r="H113" s="52"/>
      <c r="I113" s="53"/>
    </row>
    <row r="114" spans="1:9" hidden="1" x14ac:dyDescent="0.25">
      <c r="A114" s="15">
        <f t="shared" si="1"/>
        <v>0.3576388888888889</v>
      </c>
      <c r="B114" s="16">
        <v>515</v>
      </c>
      <c r="C114" s="52"/>
      <c r="D114" s="53"/>
      <c r="E114" s="53"/>
      <c r="F114" s="53"/>
      <c r="G114" s="53"/>
      <c r="H114" s="53"/>
      <c r="I114" s="53"/>
    </row>
    <row r="115" spans="1:9" hidden="1" x14ac:dyDescent="0.25">
      <c r="A115" s="15">
        <f t="shared" si="1"/>
        <v>0.3611111111111111</v>
      </c>
      <c r="B115" s="17">
        <v>520</v>
      </c>
      <c r="C115" s="17"/>
      <c r="D115" s="54"/>
      <c r="E115" s="54"/>
      <c r="F115" s="53"/>
      <c r="G115" s="52"/>
      <c r="H115" s="52"/>
      <c r="I115" s="53"/>
    </row>
    <row r="116" spans="1:9" hidden="1" x14ac:dyDescent="0.25">
      <c r="A116" s="15">
        <f t="shared" si="1"/>
        <v>0.36458333333333331</v>
      </c>
      <c r="B116" s="16">
        <v>525</v>
      </c>
      <c r="C116" s="52"/>
      <c r="D116" s="53"/>
      <c r="E116" s="53"/>
      <c r="F116" s="54"/>
      <c r="G116" s="53"/>
      <c r="H116" s="52"/>
      <c r="I116" s="53"/>
    </row>
    <row r="117" spans="1:9" hidden="1" x14ac:dyDescent="0.25">
      <c r="A117" s="15">
        <f t="shared" si="1"/>
        <v>0.36805555555555558</v>
      </c>
      <c r="B117" s="16">
        <v>530</v>
      </c>
      <c r="C117" s="52"/>
      <c r="D117" s="53"/>
      <c r="E117" s="53"/>
      <c r="F117" s="53"/>
      <c r="G117" s="53"/>
      <c r="H117" s="53"/>
      <c r="I117" s="53"/>
    </row>
    <row r="118" spans="1:9" hidden="1" x14ac:dyDescent="0.25">
      <c r="A118" s="15">
        <f t="shared" si="1"/>
        <v>0.37152777777777773</v>
      </c>
      <c r="B118" s="16">
        <v>535</v>
      </c>
      <c r="C118" s="52"/>
      <c r="D118" s="53"/>
      <c r="E118" s="53"/>
      <c r="F118" s="53"/>
      <c r="G118" s="53"/>
      <c r="H118" s="53"/>
      <c r="I118" s="53"/>
    </row>
    <row r="119" spans="1:9" hidden="1" x14ac:dyDescent="0.25">
      <c r="A119" s="15">
        <f t="shared" si="1"/>
        <v>0.375</v>
      </c>
      <c r="B119" s="17">
        <v>540</v>
      </c>
      <c r="C119" s="17"/>
      <c r="D119" s="54"/>
      <c r="E119" s="54"/>
      <c r="F119" s="54"/>
      <c r="G119" s="53"/>
      <c r="H119" s="52"/>
      <c r="I119" s="53"/>
    </row>
    <row r="120" spans="1:9" hidden="1" x14ac:dyDescent="0.25">
      <c r="A120" s="15">
        <f t="shared" si="1"/>
        <v>0.37847222222222227</v>
      </c>
      <c r="B120" s="17">
        <v>545</v>
      </c>
      <c r="C120" s="17"/>
      <c r="D120" s="54"/>
      <c r="E120" s="54"/>
      <c r="F120" s="54"/>
      <c r="G120" s="53"/>
      <c r="H120" s="52"/>
      <c r="I120" s="53"/>
    </row>
    <row r="121" spans="1:9" hidden="1" x14ac:dyDescent="0.25">
      <c r="A121" s="15">
        <f t="shared" si="1"/>
        <v>0.38194444444444442</v>
      </c>
      <c r="B121" s="17">
        <v>550</v>
      </c>
      <c r="C121" s="17"/>
      <c r="D121" s="54"/>
      <c r="E121" s="54"/>
      <c r="F121" s="54"/>
      <c r="G121" s="53"/>
      <c r="H121" s="52"/>
      <c r="I121" s="53"/>
    </row>
    <row r="122" spans="1:9" hidden="1" x14ac:dyDescent="0.25">
      <c r="A122" s="15">
        <f t="shared" si="1"/>
        <v>0.38541666666666669</v>
      </c>
      <c r="B122" s="17">
        <v>555</v>
      </c>
      <c r="C122" s="17"/>
      <c r="D122" s="54"/>
      <c r="E122" s="54"/>
      <c r="F122" s="54"/>
      <c r="G122" s="53"/>
      <c r="H122" s="52"/>
      <c r="I122" s="53"/>
    </row>
    <row r="123" spans="1:9" hidden="1" x14ac:dyDescent="0.25">
      <c r="A123" s="15">
        <f t="shared" si="1"/>
        <v>0.3888888888888889</v>
      </c>
      <c r="B123" s="17">
        <v>560</v>
      </c>
      <c r="C123" s="17"/>
      <c r="D123" s="54"/>
      <c r="E123" s="54"/>
      <c r="F123" s="54"/>
      <c r="G123" s="53"/>
      <c r="H123" s="52"/>
      <c r="I123" s="53"/>
    </row>
    <row r="124" spans="1:9" hidden="1" x14ac:dyDescent="0.25">
      <c r="A124" s="15">
        <f t="shared" si="1"/>
        <v>0.3923611111111111</v>
      </c>
      <c r="B124" s="17">
        <v>565</v>
      </c>
      <c r="C124" s="17"/>
      <c r="D124" s="54"/>
      <c r="E124" s="54"/>
      <c r="F124" s="54"/>
      <c r="G124" s="53"/>
      <c r="H124" s="52"/>
      <c r="I124" s="53"/>
    </row>
    <row r="125" spans="1:9" hidden="1" x14ac:dyDescent="0.25">
      <c r="A125" s="15">
        <f t="shared" si="1"/>
        <v>0.39583333333333331</v>
      </c>
      <c r="B125" s="17">
        <v>570</v>
      </c>
      <c r="C125" s="17"/>
      <c r="D125" s="54"/>
      <c r="E125" s="54"/>
      <c r="F125" s="54"/>
      <c r="G125" s="53"/>
      <c r="H125" s="52"/>
      <c r="I125" s="53"/>
    </row>
    <row r="126" spans="1:9" hidden="1" x14ac:dyDescent="0.25">
      <c r="A126" s="15">
        <f t="shared" si="1"/>
        <v>0.39930555555555558</v>
      </c>
      <c r="B126" s="17">
        <v>575</v>
      </c>
      <c r="C126" s="17"/>
      <c r="D126" s="54"/>
      <c r="E126" s="54"/>
      <c r="F126" s="54"/>
      <c r="G126" s="53"/>
      <c r="H126" s="52"/>
      <c r="I126" s="53"/>
    </row>
    <row r="127" spans="1:9" hidden="1" x14ac:dyDescent="0.25">
      <c r="A127" s="15">
        <f t="shared" si="1"/>
        <v>0.40277777777777773</v>
      </c>
      <c r="B127" s="17">
        <v>580</v>
      </c>
      <c r="C127" s="17"/>
      <c r="D127" s="54"/>
      <c r="E127" s="54"/>
      <c r="F127" s="54"/>
      <c r="G127" s="53"/>
      <c r="H127" s="52"/>
      <c r="I127" s="53"/>
    </row>
    <row r="128" spans="1:9" hidden="1" x14ac:dyDescent="0.25">
      <c r="A128" s="15">
        <f t="shared" si="1"/>
        <v>0.40625</v>
      </c>
      <c r="B128" s="17">
        <v>585</v>
      </c>
      <c r="C128" s="17"/>
      <c r="D128" s="54"/>
      <c r="E128" s="54"/>
      <c r="F128" s="54"/>
      <c r="G128" s="53"/>
      <c r="H128" s="52"/>
      <c r="I128" s="53"/>
    </row>
    <row r="129" spans="1:9" hidden="1" x14ac:dyDescent="0.25">
      <c r="A129" s="15">
        <f t="shared" si="1"/>
        <v>0.40972222222222227</v>
      </c>
      <c r="B129" s="17">
        <v>590</v>
      </c>
      <c r="C129" s="17"/>
      <c r="D129" s="54"/>
      <c r="E129" s="54"/>
      <c r="F129" s="54"/>
      <c r="G129" s="53"/>
      <c r="H129" s="52"/>
      <c r="I129" s="53"/>
    </row>
    <row r="130" spans="1:9" hidden="1" x14ac:dyDescent="0.25">
      <c r="A130" s="15">
        <f t="shared" si="1"/>
        <v>0.41319444444444442</v>
      </c>
      <c r="B130" s="17">
        <v>595</v>
      </c>
      <c r="C130" s="17"/>
      <c r="D130" s="54"/>
      <c r="E130" s="54"/>
      <c r="F130" s="54"/>
      <c r="G130" s="53"/>
      <c r="H130" s="52"/>
      <c r="I130" s="53"/>
    </row>
    <row r="131" spans="1:9" x14ac:dyDescent="0.25">
      <c r="A131" s="15">
        <f t="shared" si="1"/>
        <v>0.41666666666666669</v>
      </c>
      <c r="B131" s="17">
        <v>600</v>
      </c>
      <c r="C131" s="17"/>
      <c r="D131" s="54"/>
      <c r="E131" s="54"/>
      <c r="F131" s="54"/>
      <c r="G131" s="53"/>
      <c r="H131" s="52"/>
      <c r="I131" s="53"/>
    </row>
    <row r="132" spans="1:9" x14ac:dyDescent="0.25">
      <c r="A132" s="15">
        <f t="shared" si="1"/>
        <v>0.4201388888888889</v>
      </c>
      <c r="B132" s="17">
        <v>605</v>
      </c>
      <c r="C132" s="17"/>
      <c r="D132" s="54"/>
      <c r="E132" s="54"/>
      <c r="F132" s="53"/>
      <c r="G132" s="52"/>
      <c r="H132" s="53"/>
      <c r="I132" s="53"/>
    </row>
    <row r="133" spans="1:9" x14ac:dyDescent="0.25">
      <c r="A133" s="15">
        <f t="shared" si="1"/>
        <v>0.4236111111111111</v>
      </c>
      <c r="B133" s="17">
        <v>610</v>
      </c>
      <c r="C133" s="17"/>
      <c r="D133" s="54"/>
      <c r="E133" s="54"/>
      <c r="F133" s="53"/>
      <c r="G133" s="52"/>
      <c r="H133" s="53"/>
      <c r="I133" s="53"/>
    </row>
    <row r="134" spans="1:9" x14ac:dyDescent="0.25">
      <c r="A134" s="15">
        <f t="shared" si="1"/>
        <v>0.42708333333333331</v>
      </c>
      <c r="B134" s="17">
        <v>615</v>
      </c>
      <c r="C134" s="17"/>
      <c r="D134" s="54"/>
      <c r="E134" s="54"/>
      <c r="F134" s="53"/>
      <c r="G134" s="52"/>
      <c r="H134" s="52"/>
      <c r="I134" s="53"/>
    </row>
    <row r="135" spans="1:9" x14ac:dyDescent="0.25">
      <c r="A135" s="15">
        <f t="shared" si="1"/>
        <v>0.43055555555555558</v>
      </c>
      <c r="B135" s="17">
        <v>620</v>
      </c>
      <c r="C135" s="17"/>
      <c r="D135" s="53"/>
      <c r="E135" s="55"/>
      <c r="F135" s="54"/>
      <c r="G135" s="53"/>
      <c r="H135" s="52"/>
      <c r="I135" s="53"/>
    </row>
    <row r="136" spans="1:9" x14ac:dyDescent="0.25">
      <c r="A136" s="15">
        <f t="shared" si="1"/>
        <v>0.43402777777777773</v>
      </c>
      <c r="B136" s="17">
        <v>625</v>
      </c>
      <c r="C136" s="17"/>
      <c r="D136" s="54"/>
      <c r="E136" s="54"/>
      <c r="F136" s="53"/>
      <c r="G136" s="52"/>
      <c r="H136" s="53"/>
      <c r="I136" s="53"/>
    </row>
    <row r="137" spans="1:9" x14ac:dyDescent="0.25">
      <c r="A137" s="15">
        <f t="shared" si="1"/>
        <v>0.4375</v>
      </c>
      <c r="B137" s="17">
        <v>630</v>
      </c>
      <c r="C137" s="17"/>
      <c r="D137" s="54"/>
      <c r="E137" s="54"/>
      <c r="F137" s="53"/>
      <c r="G137" s="52"/>
      <c r="H137" s="52"/>
      <c r="I137" s="53"/>
    </row>
    <row r="138" spans="1:9" x14ac:dyDescent="0.25">
      <c r="A138" s="15">
        <f t="shared" si="1"/>
        <v>0.44097222222222227</v>
      </c>
      <c r="B138" s="16">
        <v>635</v>
      </c>
      <c r="C138" s="52"/>
      <c r="D138" s="53"/>
      <c r="E138" s="53"/>
      <c r="F138" s="53"/>
      <c r="G138" s="53"/>
      <c r="H138" s="53"/>
      <c r="I138" s="53"/>
    </row>
    <row r="139" spans="1:9" x14ac:dyDescent="0.25">
      <c r="A139" s="15">
        <f t="shared" si="1"/>
        <v>0.44444444444444442</v>
      </c>
      <c r="B139" s="17">
        <v>640</v>
      </c>
      <c r="C139" s="17"/>
      <c r="D139" s="53"/>
      <c r="E139" s="55"/>
      <c r="F139" s="54"/>
      <c r="G139" s="53"/>
      <c r="H139" s="52"/>
      <c r="I139" s="53"/>
    </row>
    <row r="140" spans="1:9" x14ac:dyDescent="0.25">
      <c r="A140" s="15">
        <f t="shared" ref="A140:A203" si="2">TIME(,B140,)</f>
        <v>0.44791666666666669</v>
      </c>
      <c r="B140" s="17">
        <v>645</v>
      </c>
      <c r="C140" s="17"/>
      <c r="D140" s="54"/>
      <c r="E140" s="54"/>
      <c r="F140" s="53"/>
      <c r="G140" s="52"/>
      <c r="H140" s="52"/>
      <c r="I140" s="53"/>
    </row>
    <row r="141" spans="1:9" x14ac:dyDescent="0.25">
      <c r="A141" s="15">
        <f t="shared" si="2"/>
        <v>0.4513888888888889</v>
      </c>
      <c r="B141" s="16">
        <v>650</v>
      </c>
      <c r="C141" s="52"/>
      <c r="D141" s="53"/>
      <c r="E141" s="53"/>
      <c r="F141" s="53"/>
      <c r="G141" s="53"/>
      <c r="H141" s="53"/>
      <c r="I141" s="53"/>
    </row>
    <row r="142" spans="1:9" x14ac:dyDescent="0.25">
      <c r="A142" s="15">
        <f t="shared" si="2"/>
        <v>0.4548611111111111</v>
      </c>
      <c r="B142" s="16">
        <v>655</v>
      </c>
      <c r="C142" s="52"/>
      <c r="D142" s="53"/>
      <c r="E142" s="53"/>
      <c r="F142" s="53"/>
      <c r="G142" s="138"/>
      <c r="H142" s="53"/>
      <c r="I142" s="53"/>
    </row>
    <row r="143" spans="1:9" x14ac:dyDescent="0.25">
      <c r="A143" s="15">
        <f t="shared" si="2"/>
        <v>0.45833333333333331</v>
      </c>
      <c r="B143" s="16">
        <v>660</v>
      </c>
      <c r="C143" s="55"/>
      <c r="D143" s="53"/>
      <c r="E143" s="52"/>
      <c r="F143" s="55"/>
      <c r="G143" s="97" t="s">
        <v>102</v>
      </c>
      <c r="H143" s="52"/>
      <c r="I143" s="53"/>
    </row>
    <row r="144" spans="1:9" x14ac:dyDescent="0.25">
      <c r="A144" s="15">
        <f t="shared" si="2"/>
        <v>0.46180555555555558</v>
      </c>
      <c r="B144" s="16">
        <v>665</v>
      </c>
      <c r="C144" s="52"/>
      <c r="D144" s="53"/>
      <c r="E144" s="53"/>
      <c r="F144" s="53"/>
      <c r="G144" s="126" t="s">
        <v>102</v>
      </c>
      <c r="H144" s="53"/>
      <c r="I144" s="53"/>
    </row>
    <row r="145" spans="1:9" x14ac:dyDescent="0.25">
      <c r="A145" s="15">
        <f t="shared" si="2"/>
        <v>0.46527777777777773</v>
      </c>
      <c r="B145" s="16">
        <v>670</v>
      </c>
      <c r="C145" s="52"/>
      <c r="D145" s="53"/>
      <c r="E145" s="53"/>
      <c r="F145" s="53"/>
      <c r="G145" s="95" t="s">
        <v>102</v>
      </c>
      <c r="H145" s="53"/>
      <c r="I145" s="53"/>
    </row>
    <row r="146" spans="1:9" x14ac:dyDescent="0.25">
      <c r="A146" s="15">
        <f t="shared" si="2"/>
        <v>0.46875</v>
      </c>
      <c r="B146" s="17">
        <v>675</v>
      </c>
      <c r="C146" s="17"/>
      <c r="D146" s="54"/>
      <c r="E146" s="54"/>
      <c r="F146" s="53"/>
      <c r="G146" s="75" t="s">
        <v>102</v>
      </c>
      <c r="H146" s="53"/>
      <c r="I146" s="53"/>
    </row>
    <row r="147" spans="1:9" x14ac:dyDescent="0.25">
      <c r="A147" s="15">
        <f t="shared" si="2"/>
        <v>0.47222222222222227</v>
      </c>
      <c r="B147" s="16">
        <v>680</v>
      </c>
      <c r="C147" s="52"/>
      <c r="D147" s="53"/>
      <c r="E147" s="53"/>
      <c r="F147" s="54"/>
      <c r="G147" s="99" t="s">
        <v>85</v>
      </c>
      <c r="H147" s="52"/>
      <c r="I147" s="53"/>
    </row>
    <row r="148" spans="1:9" x14ac:dyDescent="0.25">
      <c r="A148" s="15">
        <f t="shared" si="2"/>
        <v>0.47569444444444442</v>
      </c>
      <c r="B148" s="16">
        <v>685</v>
      </c>
      <c r="C148" s="140"/>
      <c r="D148" s="138"/>
      <c r="E148" s="138"/>
      <c r="F148" s="138"/>
      <c r="G148" s="101" t="s">
        <v>85</v>
      </c>
      <c r="H148" s="53"/>
      <c r="I148" s="53"/>
    </row>
    <row r="149" spans="1:9" x14ac:dyDescent="0.25">
      <c r="A149" s="15">
        <f t="shared" si="2"/>
        <v>0.47916666666666669</v>
      </c>
      <c r="B149" s="17">
        <v>690</v>
      </c>
      <c r="C149" s="120" t="s">
        <v>84</v>
      </c>
      <c r="D149" s="133" t="s">
        <v>84</v>
      </c>
      <c r="E149" s="133" t="s">
        <v>84</v>
      </c>
      <c r="F149" s="119" t="s">
        <v>84</v>
      </c>
      <c r="G149" s="78" t="s">
        <v>85</v>
      </c>
      <c r="H149" s="53"/>
      <c r="I149" s="53"/>
    </row>
    <row r="150" spans="1:9" x14ac:dyDescent="0.25">
      <c r="A150" s="15">
        <f t="shared" si="2"/>
        <v>0.4826388888888889</v>
      </c>
      <c r="B150" s="16">
        <v>695</v>
      </c>
      <c r="C150" s="90" t="s">
        <v>84</v>
      </c>
      <c r="D150" s="121" t="s">
        <v>84</v>
      </c>
      <c r="E150" s="121" t="s">
        <v>84</v>
      </c>
      <c r="F150" s="121" t="s">
        <v>84</v>
      </c>
      <c r="G150" s="103" t="s">
        <v>85</v>
      </c>
      <c r="H150" s="53"/>
      <c r="I150" s="53"/>
    </row>
    <row r="151" spans="1:9" x14ac:dyDescent="0.25">
      <c r="A151" s="15">
        <f t="shared" si="2"/>
        <v>0.4861111111111111</v>
      </c>
      <c r="B151" s="16">
        <v>700</v>
      </c>
      <c r="C151" s="91" t="s">
        <v>84</v>
      </c>
      <c r="D151" s="122" t="s">
        <v>84</v>
      </c>
      <c r="E151" s="122" t="s">
        <v>84</v>
      </c>
      <c r="F151" s="134" t="s">
        <v>84</v>
      </c>
      <c r="G151" s="114" t="s">
        <v>86</v>
      </c>
      <c r="H151" s="52"/>
      <c r="I151" s="53"/>
    </row>
    <row r="152" spans="1:9" x14ac:dyDescent="0.25">
      <c r="A152" s="15">
        <f t="shared" si="2"/>
        <v>0.48958333333333331</v>
      </c>
      <c r="B152" s="16">
        <v>705</v>
      </c>
      <c r="C152" s="91" t="s">
        <v>84</v>
      </c>
      <c r="D152" s="122" t="s">
        <v>84</v>
      </c>
      <c r="E152" s="122" t="s">
        <v>84</v>
      </c>
      <c r="F152" s="122" t="s">
        <v>84</v>
      </c>
      <c r="G152" s="115" t="s">
        <v>86</v>
      </c>
      <c r="H152" s="53"/>
      <c r="I152" s="53"/>
    </row>
    <row r="153" spans="1:9" x14ac:dyDescent="0.25">
      <c r="A153" s="15">
        <f t="shared" si="2"/>
        <v>0.49305555555555558</v>
      </c>
      <c r="B153" s="16">
        <v>710</v>
      </c>
      <c r="C153" s="91" t="s">
        <v>84</v>
      </c>
      <c r="D153" s="122" t="s">
        <v>84</v>
      </c>
      <c r="E153" s="122" t="s">
        <v>84</v>
      </c>
      <c r="F153" s="122" t="s">
        <v>84</v>
      </c>
      <c r="G153" s="113" t="s">
        <v>86</v>
      </c>
      <c r="H153" s="53"/>
      <c r="I153" s="53"/>
    </row>
    <row r="154" spans="1:9" x14ac:dyDescent="0.25">
      <c r="A154" s="15">
        <f t="shared" si="2"/>
        <v>0.49652777777777773</v>
      </c>
      <c r="B154" s="16">
        <v>715</v>
      </c>
      <c r="C154" s="94" t="s">
        <v>84</v>
      </c>
      <c r="D154" s="124" t="s">
        <v>84</v>
      </c>
      <c r="E154" s="124" t="s">
        <v>84</v>
      </c>
      <c r="F154" s="124" t="s">
        <v>84</v>
      </c>
      <c r="G154" s="117" t="s">
        <v>86</v>
      </c>
      <c r="H154" s="53"/>
      <c r="I154" s="53"/>
    </row>
    <row r="155" spans="1:9" x14ac:dyDescent="0.25">
      <c r="A155" s="15">
        <f t="shared" si="2"/>
        <v>0.5</v>
      </c>
      <c r="B155" s="17">
        <v>720</v>
      </c>
      <c r="C155" s="156" t="s">
        <v>102</v>
      </c>
      <c r="D155" s="125" t="s">
        <v>102</v>
      </c>
      <c r="E155" s="125" t="s">
        <v>102</v>
      </c>
      <c r="F155" s="125" t="s">
        <v>102</v>
      </c>
      <c r="G155" s="108" t="s">
        <v>88</v>
      </c>
      <c r="H155" s="52"/>
      <c r="I155" s="53"/>
    </row>
    <row r="156" spans="1:9" x14ac:dyDescent="0.25">
      <c r="A156" s="15">
        <f t="shared" si="2"/>
        <v>0.50347222222222221</v>
      </c>
      <c r="B156" s="17">
        <v>725</v>
      </c>
      <c r="C156" s="73" t="s">
        <v>102</v>
      </c>
      <c r="D156" s="126" t="s">
        <v>102</v>
      </c>
      <c r="E156" s="126" t="s">
        <v>102</v>
      </c>
      <c r="F156" s="126" t="s">
        <v>102</v>
      </c>
      <c r="G156" s="110" t="s">
        <v>88</v>
      </c>
      <c r="H156" s="53"/>
      <c r="I156" s="53"/>
    </row>
    <row r="157" spans="1:9" x14ac:dyDescent="0.25">
      <c r="A157" s="15">
        <f t="shared" si="2"/>
        <v>0.50694444444444442</v>
      </c>
      <c r="B157" s="17">
        <v>730</v>
      </c>
      <c r="C157" s="74" t="s">
        <v>102</v>
      </c>
      <c r="D157" s="95" t="s">
        <v>102</v>
      </c>
      <c r="E157" s="95" t="s">
        <v>102</v>
      </c>
      <c r="F157" s="95" t="s">
        <v>102</v>
      </c>
      <c r="G157" s="111" t="s">
        <v>88</v>
      </c>
      <c r="H157" s="53"/>
      <c r="I157" s="53"/>
    </row>
    <row r="158" spans="1:9" x14ac:dyDescent="0.25">
      <c r="A158" s="15">
        <f t="shared" si="2"/>
        <v>0.51041666666666663</v>
      </c>
      <c r="B158" s="17">
        <v>735</v>
      </c>
      <c r="C158" s="75" t="s">
        <v>102</v>
      </c>
      <c r="D158" s="127" t="s">
        <v>102</v>
      </c>
      <c r="E158" s="127" t="s">
        <v>102</v>
      </c>
      <c r="F158" s="127" t="s">
        <v>102</v>
      </c>
      <c r="G158" s="53"/>
      <c r="H158" s="53"/>
      <c r="I158" s="53"/>
    </row>
    <row r="159" spans="1:9" x14ac:dyDescent="0.25">
      <c r="A159" s="15">
        <f t="shared" si="2"/>
        <v>0.51388888888888895</v>
      </c>
      <c r="B159" s="17">
        <v>740</v>
      </c>
      <c r="C159" s="100" t="s">
        <v>85</v>
      </c>
      <c r="D159" s="128" t="s">
        <v>85</v>
      </c>
      <c r="E159" s="128" t="s">
        <v>85</v>
      </c>
      <c r="F159" s="99" t="s">
        <v>85</v>
      </c>
      <c r="G159" s="52"/>
      <c r="H159" s="53"/>
      <c r="I159" s="53"/>
    </row>
    <row r="160" spans="1:9" x14ac:dyDescent="0.25">
      <c r="A160" s="15">
        <f t="shared" si="2"/>
        <v>0.51736111111111105</v>
      </c>
      <c r="B160" s="16">
        <v>745</v>
      </c>
      <c r="C160" s="77" t="s">
        <v>85</v>
      </c>
      <c r="D160" s="101" t="s">
        <v>85</v>
      </c>
      <c r="E160" s="101" t="s">
        <v>85</v>
      </c>
      <c r="F160" s="101" t="s">
        <v>85</v>
      </c>
      <c r="G160" s="138"/>
      <c r="H160" s="53"/>
      <c r="I160" s="53"/>
    </row>
    <row r="161" spans="1:9" x14ac:dyDescent="0.25">
      <c r="A161" s="15">
        <f t="shared" si="2"/>
        <v>0.52083333333333337</v>
      </c>
      <c r="B161" s="17">
        <v>750</v>
      </c>
      <c r="C161" s="76" t="s">
        <v>85</v>
      </c>
      <c r="D161" s="129" t="s">
        <v>85</v>
      </c>
      <c r="E161" s="129" t="s">
        <v>85</v>
      </c>
      <c r="F161" s="129" t="s">
        <v>85</v>
      </c>
      <c r="G161" s="119" t="s">
        <v>84</v>
      </c>
      <c r="H161" s="52"/>
      <c r="I161" s="53"/>
    </row>
    <row r="162" spans="1:9" x14ac:dyDescent="0.25">
      <c r="A162" s="15">
        <f t="shared" si="2"/>
        <v>0.52430555555555558</v>
      </c>
      <c r="B162" s="16">
        <v>755</v>
      </c>
      <c r="C162" s="79" t="s">
        <v>85</v>
      </c>
      <c r="D162" s="103" t="s">
        <v>85</v>
      </c>
      <c r="E162" s="103" t="s">
        <v>85</v>
      </c>
      <c r="F162" s="103" t="s">
        <v>85</v>
      </c>
      <c r="G162" s="121" t="s">
        <v>84</v>
      </c>
      <c r="H162" s="53"/>
      <c r="I162" s="53"/>
    </row>
    <row r="163" spans="1:9" x14ac:dyDescent="0.25">
      <c r="A163" s="15">
        <f t="shared" si="2"/>
        <v>0.52777777777777779</v>
      </c>
      <c r="B163" s="17">
        <v>760</v>
      </c>
      <c r="C163" s="116" t="s">
        <v>86</v>
      </c>
      <c r="D163" s="132" t="s">
        <v>86</v>
      </c>
      <c r="E163" s="132" t="s">
        <v>86</v>
      </c>
      <c r="F163" s="114" t="s">
        <v>86</v>
      </c>
      <c r="G163" s="91" t="s">
        <v>84</v>
      </c>
      <c r="H163" s="53"/>
      <c r="I163" s="53"/>
    </row>
    <row r="164" spans="1:9" x14ac:dyDescent="0.25">
      <c r="A164" s="15">
        <f t="shared" si="2"/>
        <v>0.53125</v>
      </c>
      <c r="B164" s="16">
        <v>765</v>
      </c>
      <c r="C164" s="86" t="s">
        <v>86</v>
      </c>
      <c r="D164" s="115" t="s">
        <v>86</v>
      </c>
      <c r="E164" s="115" t="s">
        <v>86</v>
      </c>
      <c r="F164" s="115" t="s">
        <v>86</v>
      </c>
      <c r="G164" s="122" t="s">
        <v>84</v>
      </c>
      <c r="H164" s="53"/>
      <c r="I164" s="53"/>
    </row>
    <row r="165" spans="1:9" x14ac:dyDescent="0.25">
      <c r="A165" s="15">
        <f t="shared" si="2"/>
        <v>0.53472222222222221</v>
      </c>
      <c r="B165" s="16">
        <v>770</v>
      </c>
      <c r="C165" s="85" t="s">
        <v>86</v>
      </c>
      <c r="D165" s="113" t="s">
        <v>86</v>
      </c>
      <c r="E165" s="113" t="s">
        <v>86</v>
      </c>
      <c r="F165" s="113" t="s">
        <v>86</v>
      </c>
      <c r="G165" s="122" t="s">
        <v>84</v>
      </c>
      <c r="H165" s="53"/>
      <c r="I165" s="53"/>
    </row>
    <row r="166" spans="1:9" x14ac:dyDescent="0.25">
      <c r="A166" s="15">
        <f t="shared" si="2"/>
        <v>0.53819444444444442</v>
      </c>
      <c r="B166" s="16">
        <v>775</v>
      </c>
      <c r="C166" s="87" t="s">
        <v>86</v>
      </c>
      <c r="D166" s="117" t="s">
        <v>86</v>
      </c>
      <c r="E166" s="117" t="s">
        <v>86</v>
      </c>
      <c r="F166" s="117" t="s">
        <v>86</v>
      </c>
      <c r="G166" s="123" t="s">
        <v>84</v>
      </c>
      <c r="H166" s="53"/>
      <c r="I166" s="53"/>
    </row>
    <row r="167" spans="1:9" x14ac:dyDescent="0.25">
      <c r="A167" s="15">
        <f t="shared" si="2"/>
        <v>0.54166666666666663</v>
      </c>
      <c r="B167" s="17">
        <v>780</v>
      </c>
      <c r="C167" s="105" t="s">
        <v>87</v>
      </c>
      <c r="D167" s="130" t="s">
        <v>87</v>
      </c>
      <c r="E167" s="130" t="s">
        <v>87</v>
      </c>
      <c r="F167" s="104" t="s">
        <v>87</v>
      </c>
      <c r="G167" s="52"/>
      <c r="H167" s="53"/>
      <c r="I167" s="53"/>
    </row>
    <row r="168" spans="1:9" x14ac:dyDescent="0.25">
      <c r="A168" s="15">
        <f t="shared" si="2"/>
        <v>0.54513888888888895</v>
      </c>
      <c r="B168" s="16">
        <v>785</v>
      </c>
      <c r="C168" s="157" t="s">
        <v>87</v>
      </c>
      <c r="D168" s="135" t="s">
        <v>87</v>
      </c>
      <c r="E168" s="135" t="s">
        <v>87</v>
      </c>
      <c r="F168" s="135" t="s">
        <v>87</v>
      </c>
      <c r="G168" s="53"/>
      <c r="H168" s="53"/>
      <c r="I168" s="53"/>
    </row>
    <row r="169" spans="1:9" x14ac:dyDescent="0.25">
      <c r="A169" s="15">
        <f t="shared" si="2"/>
        <v>0.54861111111111105</v>
      </c>
      <c r="B169" s="16">
        <v>790</v>
      </c>
      <c r="C169" s="137" t="s">
        <v>87</v>
      </c>
      <c r="D169" s="107" t="s">
        <v>87</v>
      </c>
      <c r="E169" s="107" t="s">
        <v>87</v>
      </c>
      <c r="F169" s="107" t="s">
        <v>87</v>
      </c>
      <c r="G169" s="53"/>
      <c r="H169" s="53"/>
      <c r="I169" s="53"/>
    </row>
    <row r="170" spans="1:9" x14ac:dyDescent="0.25">
      <c r="A170" s="15">
        <f t="shared" si="2"/>
        <v>0.55208333333333337</v>
      </c>
      <c r="B170" s="17">
        <v>795</v>
      </c>
      <c r="C170" s="81" t="s">
        <v>87</v>
      </c>
      <c r="D170" s="106" t="s">
        <v>87</v>
      </c>
      <c r="E170" s="106" t="s">
        <v>87</v>
      </c>
      <c r="F170" s="107" t="s">
        <v>87</v>
      </c>
      <c r="G170" s="52"/>
      <c r="H170" s="53"/>
      <c r="I170" s="53"/>
    </row>
    <row r="171" spans="1:9" x14ac:dyDescent="0.25">
      <c r="A171" s="15">
        <f t="shared" si="2"/>
        <v>0.55555555555555558</v>
      </c>
      <c r="B171" s="16">
        <v>800</v>
      </c>
      <c r="C171" s="137" t="s">
        <v>87</v>
      </c>
      <c r="D171" s="107" t="s">
        <v>87</v>
      </c>
      <c r="E171" s="107" t="s">
        <v>87</v>
      </c>
      <c r="F171" s="107" t="s">
        <v>87</v>
      </c>
      <c r="G171" s="53"/>
      <c r="H171" s="53"/>
      <c r="I171" s="53"/>
    </row>
    <row r="172" spans="1:9" x14ac:dyDescent="0.25">
      <c r="A172" s="15">
        <f t="shared" si="2"/>
        <v>0.55902777777777779</v>
      </c>
      <c r="B172" s="16">
        <v>805</v>
      </c>
      <c r="C172" s="158" t="s">
        <v>87</v>
      </c>
      <c r="D172" s="136" t="s">
        <v>87</v>
      </c>
      <c r="E172" s="136" t="s">
        <v>87</v>
      </c>
      <c r="F172" s="136" t="s">
        <v>87</v>
      </c>
      <c r="G172" s="53"/>
      <c r="H172" s="53"/>
      <c r="I172" s="53"/>
    </row>
    <row r="173" spans="1:9" x14ac:dyDescent="0.25">
      <c r="A173" s="15">
        <f t="shared" si="2"/>
        <v>0.5625</v>
      </c>
      <c r="B173" s="17">
        <v>810</v>
      </c>
      <c r="C173" s="120" t="s">
        <v>84</v>
      </c>
      <c r="D173" s="133" t="s">
        <v>84</v>
      </c>
      <c r="E173" s="133" t="s">
        <v>84</v>
      </c>
      <c r="F173" s="104" t="s">
        <v>87</v>
      </c>
      <c r="G173" s="52"/>
      <c r="H173" s="53"/>
      <c r="I173" s="53"/>
    </row>
    <row r="174" spans="1:9" x14ac:dyDescent="0.25">
      <c r="A174" s="15">
        <f t="shared" si="2"/>
        <v>0.56597222222222221</v>
      </c>
      <c r="B174" s="16">
        <v>815</v>
      </c>
      <c r="C174" s="90" t="s">
        <v>84</v>
      </c>
      <c r="D174" s="121" t="s">
        <v>84</v>
      </c>
      <c r="E174" s="121" t="s">
        <v>84</v>
      </c>
      <c r="F174" s="135" t="s">
        <v>87</v>
      </c>
      <c r="G174" s="53"/>
      <c r="H174" s="53"/>
      <c r="I174" s="53"/>
    </row>
    <row r="175" spans="1:9" x14ac:dyDescent="0.25">
      <c r="A175" s="15">
        <f t="shared" si="2"/>
        <v>0.56944444444444442</v>
      </c>
      <c r="B175" s="16">
        <v>820</v>
      </c>
      <c r="C175" s="91" t="s">
        <v>84</v>
      </c>
      <c r="D175" s="122" t="s">
        <v>84</v>
      </c>
      <c r="E175" s="122" t="s">
        <v>84</v>
      </c>
      <c r="F175" s="107" t="s">
        <v>87</v>
      </c>
      <c r="G175" s="53"/>
      <c r="H175" s="53"/>
      <c r="I175" s="53"/>
    </row>
    <row r="176" spans="1:9" x14ac:dyDescent="0.25">
      <c r="A176" s="15">
        <f t="shared" si="2"/>
        <v>0.57291666666666663</v>
      </c>
      <c r="B176" s="17">
        <v>825</v>
      </c>
      <c r="C176" s="92" t="s">
        <v>84</v>
      </c>
      <c r="D176" s="118" t="s">
        <v>84</v>
      </c>
      <c r="E176" s="134" t="s">
        <v>84</v>
      </c>
      <c r="F176" s="107" t="s">
        <v>87</v>
      </c>
      <c r="G176" s="52"/>
      <c r="H176" s="53"/>
      <c r="I176" s="53"/>
    </row>
    <row r="177" spans="1:9" x14ac:dyDescent="0.25">
      <c r="A177" s="15">
        <f t="shared" si="2"/>
        <v>0.57638888888888895</v>
      </c>
      <c r="B177" s="16">
        <v>830</v>
      </c>
      <c r="C177" s="91" t="s">
        <v>84</v>
      </c>
      <c r="D177" s="122" t="s">
        <v>84</v>
      </c>
      <c r="E177" s="122" t="s">
        <v>84</v>
      </c>
      <c r="F177" s="107" t="s">
        <v>87</v>
      </c>
      <c r="G177" s="53"/>
      <c r="H177" s="53"/>
      <c r="I177" s="53"/>
    </row>
    <row r="178" spans="1:9" x14ac:dyDescent="0.25">
      <c r="A178" s="15">
        <f t="shared" si="2"/>
        <v>0.57986111111111105</v>
      </c>
      <c r="B178" s="16">
        <v>835</v>
      </c>
      <c r="C178" s="94" t="s">
        <v>84</v>
      </c>
      <c r="D178" s="124" t="s">
        <v>84</v>
      </c>
      <c r="E178" s="124" t="s">
        <v>84</v>
      </c>
      <c r="F178" s="136" t="s">
        <v>87</v>
      </c>
      <c r="G178" s="53"/>
      <c r="H178" s="53"/>
      <c r="I178" s="53"/>
    </row>
    <row r="179" spans="1:9" x14ac:dyDescent="0.25">
      <c r="A179" s="15">
        <f t="shared" si="2"/>
        <v>0.58333333333333337</v>
      </c>
      <c r="B179" s="17">
        <v>840</v>
      </c>
      <c r="C179" s="109" t="s">
        <v>88</v>
      </c>
      <c r="D179" s="133" t="s">
        <v>84</v>
      </c>
      <c r="E179" s="131" t="s">
        <v>88</v>
      </c>
      <c r="F179" s="119" t="s">
        <v>84</v>
      </c>
      <c r="G179" s="52"/>
      <c r="H179" s="52"/>
      <c r="I179" s="53"/>
    </row>
    <row r="180" spans="1:9" x14ac:dyDescent="0.25">
      <c r="A180" s="15">
        <f t="shared" si="2"/>
        <v>0.58680555555555558</v>
      </c>
      <c r="B180" s="16">
        <v>845</v>
      </c>
      <c r="C180" s="83" t="s">
        <v>88</v>
      </c>
      <c r="D180" s="121" t="s">
        <v>84</v>
      </c>
      <c r="E180" s="110" t="s">
        <v>88</v>
      </c>
      <c r="F180" s="121" t="s">
        <v>84</v>
      </c>
      <c r="G180" s="53"/>
      <c r="H180" s="53"/>
      <c r="I180" s="53"/>
    </row>
    <row r="181" spans="1:9" x14ac:dyDescent="0.25">
      <c r="A181" s="15">
        <f t="shared" si="2"/>
        <v>0.59027777777777779</v>
      </c>
      <c r="B181" s="16">
        <v>850</v>
      </c>
      <c r="C181" s="88" t="s">
        <v>88</v>
      </c>
      <c r="D181" s="122" t="s">
        <v>84</v>
      </c>
      <c r="E181" s="112" t="s">
        <v>88</v>
      </c>
      <c r="F181" s="122" t="s">
        <v>84</v>
      </c>
      <c r="G181" s="53"/>
      <c r="H181" s="53"/>
      <c r="I181" s="53"/>
    </row>
    <row r="182" spans="1:9" x14ac:dyDescent="0.25">
      <c r="A182" s="15">
        <f t="shared" si="2"/>
        <v>0.59375</v>
      </c>
      <c r="B182" s="17">
        <v>855</v>
      </c>
      <c r="C182" s="82" t="s">
        <v>88</v>
      </c>
      <c r="D182" s="118" t="s">
        <v>84</v>
      </c>
      <c r="E182" s="108" t="s">
        <v>88</v>
      </c>
      <c r="F182" s="91" t="s">
        <v>84</v>
      </c>
      <c r="G182" s="52"/>
      <c r="H182" s="53"/>
      <c r="I182" s="53"/>
    </row>
    <row r="183" spans="1:9" x14ac:dyDescent="0.25">
      <c r="A183" s="15">
        <f t="shared" si="2"/>
        <v>0.59722222222222221</v>
      </c>
      <c r="B183" s="16">
        <v>860</v>
      </c>
      <c r="C183" s="83" t="s">
        <v>88</v>
      </c>
      <c r="D183" s="122" t="s">
        <v>84</v>
      </c>
      <c r="E183" s="110" t="s">
        <v>88</v>
      </c>
      <c r="F183" s="122" t="s">
        <v>84</v>
      </c>
      <c r="G183" s="53"/>
      <c r="H183" s="53"/>
      <c r="I183" s="53"/>
    </row>
    <row r="184" spans="1:9" x14ac:dyDescent="0.25">
      <c r="A184" s="15">
        <f t="shared" si="2"/>
        <v>0.60069444444444442</v>
      </c>
      <c r="B184" s="16">
        <v>865</v>
      </c>
      <c r="C184" s="88" t="s">
        <v>88</v>
      </c>
      <c r="D184" s="124" t="s">
        <v>84</v>
      </c>
      <c r="E184" s="112" t="s">
        <v>88</v>
      </c>
      <c r="F184" s="124" t="s">
        <v>84</v>
      </c>
      <c r="G184" s="53"/>
      <c r="H184" s="53"/>
      <c r="I184" s="53"/>
    </row>
    <row r="185" spans="1:9" x14ac:dyDescent="0.25">
      <c r="A185" s="15">
        <f t="shared" si="2"/>
        <v>0.60416666666666663</v>
      </c>
      <c r="B185" s="17">
        <v>870</v>
      </c>
      <c r="C185" s="109" t="s">
        <v>88</v>
      </c>
      <c r="D185" s="131" t="s">
        <v>88</v>
      </c>
      <c r="E185" s="131" t="s">
        <v>88</v>
      </c>
      <c r="F185" s="108" t="s">
        <v>88</v>
      </c>
      <c r="G185" s="52"/>
      <c r="H185" s="52"/>
      <c r="I185" s="53"/>
    </row>
    <row r="186" spans="1:9" x14ac:dyDescent="0.25">
      <c r="A186" s="15">
        <f t="shared" si="2"/>
        <v>0.60763888888888895</v>
      </c>
      <c r="B186" s="16">
        <v>875</v>
      </c>
      <c r="C186" s="83" t="s">
        <v>88</v>
      </c>
      <c r="D186" s="110" t="s">
        <v>88</v>
      </c>
      <c r="E186" s="110" t="s">
        <v>88</v>
      </c>
      <c r="F186" s="110" t="s">
        <v>88</v>
      </c>
      <c r="G186" s="53"/>
      <c r="H186" s="53"/>
      <c r="I186" s="53"/>
    </row>
    <row r="187" spans="1:9" x14ac:dyDescent="0.25">
      <c r="A187" s="15">
        <f t="shared" si="2"/>
        <v>0.61111111111111105</v>
      </c>
      <c r="B187" s="16">
        <v>880</v>
      </c>
      <c r="C187" s="84" t="s">
        <v>88</v>
      </c>
      <c r="D187" s="111" t="s">
        <v>88</v>
      </c>
      <c r="E187" s="111" t="s">
        <v>88</v>
      </c>
      <c r="F187" s="111" t="s">
        <v>88</v>
      </c>
      <c r="G187" s="53"/>
      <c r="H187" s="53"/>
      <c r="I187" s="53"/>
    </row>
    <row r="188" spans="1:9" x14ac:dyDescent="0.25">
      <c r="A188" s="15">
        <f t="shared" si="2"/>
        <v>0.61458333333333337</v>
      </c>
      <c r="B188" s="17">
        <v>885</v>
      </c>
      <c r="C188" s="17"/>
      <c r="D188" s="53"/>
      <c r="E188" s="55"/>
      <c r="F188" s="53"/>
      <c r="G188" s="52"/>
      <c r="H188" s="53"/>
      <c r="I188" s="53"/>
    </row>
    <row r="189" spans="1:9" x14ac:dyDescent="0.25">
      <c r="A189" s="15">
        <f t="shared" si="2"/>
        <v>0.61805555555555558</v>
      </c>
      <c r="B189" s="16">
        <v>890</v>
      </c>
      <c r="C189" s="52"/>
      <c r="D189" s="53"/>
      <c r="E189" s="53"/>
      <c r="F189" s="53"/>
      <c r="G189" s="53"/>
      <c r="H189" s="53"/>
      <c r="I189" s="53"/>
    </row>
    <row r="190" spans="1:9" x14ac:dyDescent="0.25">
      <c r="A190" s="15">
        <f t="shared" si="2"/>
        <v>0.62152777777777779</v>
      </c>
      <c r="B190" s="16">
        <v>895</v>
      </c>
      <c r="C190" s="140"/>
      <c r="D190" s="138"/>
      <c r="E190" s="138"/>
      <c r="F190" s="138"/>
      <c r="G190" s="53"/>
      <c r="H190" s="53"/>
      <c r="I190" s="53"/>
    </row>
    <row r="191" spans="1:9" x14ac:dyDescent="0.25">
      <c r="A191" s="15">
        <f t="shared" si="2"/>
        <v>0.625</v>
      </c>
      <c r="B191" s="17">
        <v>900</v>
      </c>
      <c r="C191" s="120" t="s">
        <v>84</v>
      </c>
      <c r="D191" s="133" t="s">
        <v>84</v>
      </c>
      <c r="E191" s="133" t="s">
        <v>84</v>
      </c>
      <c r="F191" s="119" t="s">
        <v>84</v>
      </c>
      <c r="G191" s="52"/>
      <c r="H191" s="53"/>
      <c r="I191" s="53"/>
    </row>
    <row r="192" spans="1:9" x14ac:dyDescent="0.25">
      <c r="A192" s="15">
        <f t="shared" si="2"/>
        <v>0.62847222222222221</v>
      </c>
      <c r="B192" s="16">
        <v>905</v>
      </c>
      <c r="C192" s="90" t="s">
        <v>84</v>
      </c>
      <c r="D192" s="121" t="s">
        <v>84</v>
      </c>
      <c r="E192" s="121" t="s">
        <v>84</v>
      </c>
      <c r="F192" s="121" t="s">
        <v>84</v>
      </c>
      <c r="G192" s="53"/>
      <c r="H192" s="53"/>
      <c r="I192" s="53"/>
    </row>
    <row r="193" spans="1:9" x14ac:dyDescent="0.25">
      <c r="A193" s="15">
        <f t="shared" si="2"/>
        <v>0.63194444444444442</v>
      </c>
      <c r="B193" s="16">
        <v>910</v>
      </c>
      <c r="C193" s="91" t="s">
        <v>84</v>
      </c>
      <c r="D193" s="122" t="s">
        <v>84</v>
      </c>
      <c r="E193" s="122" t="s">
        <v>84</v>
      </c>
      <c r="F193" s="122" t="s">
        <v>84</v>
      </c>
      <c r="G193" s="53"/>
      <c r="H193" s="53"/>
      <c r="I193" s="53"/>
    </row>
    <row r="194" spans="1:9" x14ac:dyDescent="0.25">
      <c r="A194" s="15">
        <f t="shared" si="2"/>
        <v>0.63541666666666663</v>
      </c>
      <c r="B194" s="16">
        <v>915</v>
      </c>
      <c r="C194" s="91" t="s">
        <v>84</v>
      </c>
      <c r="D194" s="122" t="s">
        <v>84</v>
      </c>
      <c r="E194" s="122" t="s">
        <v>84</v>
      </c>
      <c r="F194" s="122" t="s">
        <v>84</v>
      </c>
      <c r="G194" s="53"/>
      <c r="H194" s="53"/>
      <c r="I194" s="53"/>
    </row>
    <row r="195" spans="1:9" x14ac:dyDescent="0.25">
      <c r="A195" s="15">
        <f t="shared" si="2"/>
        <v>0.63888888888888895</v>
      </c>
      <c r="B195" s="16">
        <v>920</v>
      </c>
      <c r="C195" s="91" t="s">
        <v>84</v>
      </c>
      <c r="D195" s="122" t="s">
        <v>84</v>
      </c>
      <c r="E195" s="122" t="s">
        <v>84</v>
      </c>
      <c r="F195" s="122" t="s">
        <v>84</v>
      </c>
      <c r="G195" s="53"/>
      <c r="H195" s="53"/>
      <c r="I195" s="53"/>
    </row>
    <row r="196" spans="1:9" x14ac:dyDescent="0.25">
      <c r="A196" s="15">
        <f t="shared" si="2"/>
        <v>0.64236111111111105</v>
      </c>
      <c r="B196" s="16">
        <v>925</v>
      </c>
      <c r="C196" s="94" t="s">
        <v>84</v>
      </c>
      <c r="D196" s="124" t="s">
        <v>84</v>
      </c>
      <c r="E196" s="124" t="s">
        <v>84</v>
      </c>
      <c r="F196" s="124" t="s">
        <v>84</v>
      </c>
      <c r="G196" s="53"/>
      <c r="H196" s="53"/>
      <c r="I196" s="53"/>
    </row>
    <row r="197" spans="1:9" x14ac:dyDescent="0.25">
      <c r="A197" s="15">
        <f t="shared" si="2"/>
        <v>0.64583333333333337</v>
      </c>
      <c r="B197" s="17">
        <v>930</v>
      </c>
      <c r="C197" s="120" t="s">
        <v>84</v>
      </c>
      <c r="D197" s="133" t="s">
        <v>84</v>
      </c>
      <c r="E197" s="133" t="s">
        <v>84</v>
      </c>
      <c r="F197" s="119" t="s">
        <v>84</v>
      </c>
      <c r="G197" s="52"/>
      <c r="H197" s="53"/>
      <c r="I197" s="53"/>
    </row>
    <row r="198" spans="1:9" x14ac:dyDescent="0.25">
      <c r="A198" s="15">
        <f t="shared" si="2"/>
        <v>0.64930555555555558</v>
      </c>
      <c r="B198" s="16">
        <v>935</v>
      </c>
      <c r="C198" s="90" t="s">
        <v>84</v>
      </c>
      <c r="D198" s="121" t="s">
        <v>84</v>
      </c>
      <c r="E198" s="121" t="s">
        <v>84</v>
      </c>
      <c r="F198" s="121" t="s">
        <v>84</v>
      </c>
      <c r="G198" s="53"/>
      <c r="H198" s="53"/>
      <c r="I198" s="53"/>
    </row>
    <row r="199" spans="1:9" x14ac:dyDescent="0.25">
      <c r="A199" s="15">
        <f t="shared" si="2"/>
        <v>0.65277777777777779</v>
      </c>
      <c r="B199" s="16">
        <v>940</v>
      </c>
      <c r="C199" s="91" t="s">
        <v>84</v>
      </c>
      <c r="D199" s="122" t="s">
        <v>84</v>
      </c>
      <c r="E199" s="122" t="s">
        <v>84</v>
      </c>
      <c r="F199" s="122" t="s">
        <v>84</v>
      </c>
      <c r="G199" s="53"/>
      <c r="H199" s="53"/>
      <c r="I199" s="53"/>
    </row>
    <row r="200" spans="1:9" x14ac:dyDescent="0.25">
      <c r="A200" s="15">
        <f t="shared" si="2"/>
        <v>0.65625</v>
      </c>
      <c r="B200" s="16">
        <v>945</v>
      </c>
      <c r="C200" s="91" t="s">
        <v>84</v>
      </c>
      <c r="D200" s="122" t="s">
        <v>84</v>
      </c>
      <c r="E200" s="122" t="s">
        <v>84</v>
      </c>
      <c r="F200" s="122" t="s">
        <v>84</v>
      </c>
      <c r="G200" s="53"/>
      <c r="H200" s="53"/>
      <c r="I200" s="53"/>
    </row>
    <row r="201" spans="1:9" x14ac:dyDescent="0.25">
      <c r="A201" s="15">
        <f t="shared" si="2"/>
        <v>0.65972222222222221</v>
      </c>
      <c r="B201" s="16">
        <v>950</v>
      </c>
      <c r="C201" s="91" t="s">
        <v>84</v>
      </c>
      <c r="D201" s="122" t="s">
        <v>84</v>
      </c>
      <c r="E201" s="122" t="s">
        <v>84</v>
      </c>
      <c r="F201" s="122" t="s">
        <v>84</v>
      </c>
      <c r="G201" s="53"/>
      <c r="H201" s="53"/>
      <c r="I201" s="53"/>
    </row>
    <row r="202" spans="1:9" x14ac:dyDescent="0.25">
      <c r="A202" s="15">
        <f t="shared" si="2"/>
        <v>0.66319444444444442</v>
      </c>
      <c r="B202" s="16">
        <v>955</v>
      </c>
      <c r="C202" s="93" t="s">
        <v>84</v>
      </c>
      <c r="D202" s="123" t="s">
        <v>84</v>
      </c>
      <c r="E202" s="123" t="s">
        <v>84</v>
      </c>
      <c r="F202" s="123" t="s">
        <v>84</v>
      </c>
      <c r="G202" s="53"/>
      <c r="H202" s="53"/>
      <c r="I202" s="53"/>
    </row>
    <row r="203" spans="1:9" x14ac:dyDescent="0.25">
      <c r="A203" s="15">
        <f t="shared" si="2"/>
        <v>0.66666666666666663</v>
      </c>
      <c r="B203" s="16">
        <v>960</v>
      </c>
      <c r="C203" s="55"/>
      <c r="D203" s="53"/>
      <c r="E203" s="52"/>
      <c r="F203" s="53"/>
      <c r="G203" s="53"/>
      <c r="H203" s="53"/>
      <c r="I203" s="53"/>
    </row>
    <row r="204" spans="1:9" x14ac:dyDescent="0.25">
      <c r="A204" s="15">
        <f t="shared" ref="A204:A267" si="3">TIME(,B204,)</f>
        <v>0.67013888888888884</v>
      </c>
      <c r="B204" s="16">
        <v>965</v>
      </c>
      <c r="C204" s="52"/>
      <c r="D204" s="53"/>
      <c r="E204" s="53"/>
      <c r="F204" s="53"/>
      <c r="G204" s="53"/>
      <c r="H204" s="53"/>
      <c r="I204" s="53"/>
    </row>
    <row r="205" spans="1:9" x14ac:dyDescent="0.25">
      <c r="A205" s="15">
        <f t="shared" si="3"/>
        <v>0.67361111111111116</v>
      </c>
      <c r="B205" s="16">
        <v>970</v>
      </c>
      <c r="C205" s="52"/>
      <c r="D205" s="53"/>
      <c r="E205" s="53"/>
      <c r="F205" s="53"/>
      <c r="G205" s="53"/>
      <c r="H205" s="53"/>
      <c r="I205" s="53"/>
    </row>
    <row r="206" spans="1:9" x14ac:dyDescent="0.25">
      <c r="A206" s="15">
        <f t="shared" si="3"/>
        <v>0.67708333333333337</v>
      </c>
      <c r="B206" s="16">
        <v>975</v>
      </c>
      <c r="C206" s="55"/>
      <c r="D206" s="53"/>
      <c r="E206" s="52"/>
      <c r="F206" s="53"/>
      <c r="G206" s="53"/>
      <c r="H206" s="53"/>
      <c r="I206" s="53"/>
    </row>
    <row r="207" spans="1:9" x14ac:dyDescent="0.25">
      <c r="A207" s="15">
        <f t="shared" si="3"/>
        <v>0.68055555555555547</v>
      </c>
      <c r="B207" s="16">
        <v>980</v>
      </c>
      <c r="C207" s="52"/>
      <c r="D207" s="53"/>
      <c r="E207" s="53"/>
      <c r="F207" s="53"/>
      <c r="G207" s="53"/>
      <c r="H207" s="53"/>
      <c r="I207" s="53"/>
    </row>
    <row r="208" spans="1:9" x14ac:dyDescent="0.25">
      <c r="A208" s="15">
        <f t="shared" si="3"/>
        <v>0.68402777777777779</v>
      </c>
      <c r="B208" s="16">
        <v>985</v>
      </c>
      <c r="C208" s="52"/>
      <c r="D208" s="53"/>
      <c r="E208" s="53"/>
      <c r="F208" s="53"/>
      <c r="G208" s="53"/>
      <c r="H208" s="53"/>
      <c r="I208" s="53"/>
    </row>
    <row r="209" spans="1:9" x14ac:dyDescent="0.25">
      <c r="A209" s="15">
        <f t="shared" si="3"/>
        <v>0.6875</v>
      </c>
      <c r="B209" s="16">
        <v>990</v>
      </c>
      <c r="C209" s="55"/>
      <c r="D209" s="53"/>
      <c r="E209" s="52"/>
      <c r="F209" s="53"/>
      <c r="G209" s="53"/>
      <c r="H209" s="53"/>
      <c r="I209" s="53"/>
    </row>
    <row r="210" spans="1:9" x14ac:dyDescent="0.25">
      <c r="A210" s="15">
        <f t="shared" si="3"/>
        <v>0.69097222222222221</v>
      </c>
      <c r="B210" s="16">
        <v>995</v>
      </c>
      <c r="C210" s="52"/>
      <c r="D210" s="53"/>
      <c r="E210" s="53"/>
      <c r="F210" s="53"/>
      <c r="G210" s="53"/>
      <c r="H210" s="53"/>
      <c r="I210" s="53"/>
    </row>
    <row r="211" spans="1:9" x14ac:dyDescent="0.25">
      <c r="A211" s="15">
        <f t="shared" si="3"/>
        <v>0.69444444444444453</v>
      </c>
      <c r="B211" s="16">
        <v>1000</v>
      </c>
      <c r="C211" s="52"/>
      <c r="D211" s="53"/>
      <c r="E211" s="53"/>
      <c r="F211" s="53"/>
      <c r="G211" s="53"/>
      <c r="H211" s="53"/>
      <c r="I211" s="53"/>
    </row>
    <row r="212" spans="1:9" x14ac:dyDescent="0.25">
      <c r="A212" s="15">
        <f t="shared" si="3"/>
        <v>0.69791666666666663</v>
      </c>
      <c r="B212" s="16">
        <v>1005</v>
      </c>
      <c r="C212" s="52"/>
      <c r="D212" s="53"/>
      <c r="E212" s="53"/>
      <c r="F212" s="53"/>
      <c r="G212" s="53"/>
      <c r="H212" s="53"/>
      <c r="I212" s="53"/>
    </row>
    <row r="213" spans="1:9" x14ac:dyDescent="0.25">
      <c r="A213" s="15">
        <f t="shared" si="3"/>
        <v>0.70138888888888884</v>
      </c>
      <c r="B213" s="16">
        <v>1010</v>
      </c>
      <c r="C213" s="52"/>
      <c r="D213" s="53"/>
      <c r="E213" s="53"/>
      <c r="F213" s="53"/>
      <c r="G213" s="53"/>
      <c r="H213" s="53"/>
      <c r="I213" s="53"/>
    </row>
    <row r="214" spans="1:9" x14ac:dyDescent="0.25">
      <c r="A214" s="15">
        <f t="shared" si="3"/>
        <v>0.70486111111111116</v>
      </c>
      <c r="B214" s="16">
        <v>1015</v>
      </c>
      <c r="C214" s="52"/>
      <c r="D214" s="53"/>
      <c r="E214" s="53"/>
      <c r="F214" s="53"/>
      <c r="G214" s="53"/>
      <c r="H214" s="53"/>
      <c r="I214" s="53"/>
    </row>
    <row r="215" spans="1:9" hidden="1" x14ac:dyDescent="0.25">
      <c r="A215" s="15">
        <f t="shared" si="3"/>
        <v>0.70833333333333337</v>
      </c>
      <c r="B215" s="16">
        <v>1020</v>
      </c>
      <c r="C215" s="55"/>
      <c r="D215" s="53"/>
      <c r="E215" s="52"/>
      <c r="F215" s="53"/>
      <c r="G215" s="53"/>
      <c r="H215" s="53"/>
      <c r="I215" s="53"/>
    </row>
    <row r="216" spans="1:9" hidden="1" x14ac:dyDescent="0.25">
      <c r="A216" s="15">
        <f t="shared" si="3"/>
        <v>0.71180555555555547</v>
      </c>
      <c r="B216" s="16">
        <v>1025</v>
      </c>
      <c r="C216" s="52"/>
      <c r="D216" s="53"/>
      <c r="E216" s="53"/>
      <c r="F216" s="53"/>
      <c r="G216" s="53"/>
      <c r="H216" s="53"/>
      <c r="I216" s="53"/>
    </row>
    <row r="217" spans="1:9" hidden="1" x14ac:dyDescent="0.25">
      <c r="A217" s="15">
        <f t="shared" si="3"/>
        <v>0.71527777777777779</v>
      </c>
      <c r="B217" s="16">
        <v>1030</v>
      </c>
      <c r="C217" s="52"/>
      <c r="D217" s="53"/>
      <c r="E217" s="53"/>
      <c r="F217" s="53"/>
      <c r="G217" s="53"/>
      <c r="H217" s="53"/>
      <c r="I217" s="53"/>
    </row>
    <row r="218" spans="1:9" hidden="1" x14ac:dyDescent="0.25">
      <c r="A218" s="15">
        <f t="shared" si="3"/>
        <v>0.71875</v>
      </c>
      <c r="B218" s="16">
        <v>1035</v>
      </c>
      <c r="C218" s="52"/>
      <c r="D218" s="53"/>
      <c r="E218" s="53"/>
      <c r="F218" s="53"/>
      <c r="G218" s="53"/>
      <c r="H218" s="53"/>
      <c r="I218" s="53"/>
    </row>
    <row r="219" spans="1:9" hidden="1" x14ac:dyDescent="0.25">
      <c r="A219" s="15">
        <f t="shared" si="3"/>
        <v>0.72222222222222221</v>
      </c>
      <c r="B219" s="16">
        <v>1040</v>
      </c>
      <c r="C219" s="52"/>
      <c r="D219" s="53"/>
      <c r="E219" s="53"/>
      <c r="F219" s="53"/>
      <c r="G219" s="53"/>
      <c r="H219" s="53"/>
      <c r="I219" s="53"/>
    </row>
    <row r="220" spans="1:9" hidden="1" x14ac:dyDescent="0.25">
      <c r="A220" s="15">
        <f t="shared" si="3"/>
        <v>0.72569444444444453</v>
      </c>
      <c r="B220" s="16">
        <v>1045</v>
      </c>
      <c r="C220" s="52"/>
      <c r="D220" s="53"/>
      <c r="E220" s="53"/>
      <c r="F220" s="53"/>
      <c r="G220" s="53"/>
      <c r="H220" s="53"/>
      <c r="I220" s="53"/>
    </row>
    <row r="221" spans="1:9" hidden="1" x14ac:dyDescent="0.25">
      <c r="A221" s="15">
        <f t="shared" si="3"/>
        <v>0.72916666666666663</v>
      </c>
      <c r="B221" s="16">
        <v>1050</v>
      </c>
      <c r="C221" s="55"/>
      <c r="D221" s="53"/>
      <c r="E221" s="52"/>
      <c r="F221" s="53"/>
      <c r="G221" s="53"/>
      <c r="H221" s="53"/>
      <c r="I221" s="53"/>
    </row>
    <row r="222" spans="1:9" hidden="1" x14ac:dyDescent="0.25">
      <c r="A222" s="15">
        <f t="shared" si="3"/>
        <v>0.73263888888888884</v>
      </c>
      <c r="B222" s="16">
        <v>1055</v>
      </c>
      <c r="C222" s="52"/>
      <c r="D222" s="53"/>
      <c r="E222" s="53"/>
      <c r="F222" s="53"/>
      <c r="G222" s="53"/>
      <c r="H222" s="53"/>
      <c r="I222" s="53"/>
    </row>
    <row r="223" spans="1:9" hidden="1" x14ac:dyDescent="0.25">
      <c r="A223" s="15">
        <f t="shared" si="3"/>
        <v>0.73611111111111116</v>
      </c>
      <c r="B223" s="16">
        <v>1060</v>
      </c>
      <c r="C223" s="52"/>
      <c r="D223" s="53"/>
      <c r="E223" s="53"/>
      <c r="F223" s="53"/>
      <c r="G223" s="53"/>
      <c r="H223" s="53"/>
      <c r="I223" s="53"/>
    </row>
    <row r="224" spans="1:9" hidden="1" x14ac:dyDescent="0.25">
      <c r="A224" s="15">
        <f t="shared" si="3"/>
        <v>0.73958333333333337</v>
      </c>
      <c r="B224" s="16">
        <v>1065</v>
      </c>
      <c r="C224" s="52"/>
      <c r="D224" s="53"/>
      <c r="E224" s="53"/>
      <c r="F224" s="53"/>
      <c r="G224" s="53"/>
      <c r="H224" s="53"/>
      <c r="I224" s="53"/>
    </row>
    <row r="225" spans="1:9" hidden="1" x14ac:dyDescent="0.25">
      <c r="A225" s="15">
        <f t="shared" si="3"/>
        <v>0.74305555555555547</v>
      </c>
      <c r="B225" s="16">
        <v>1070</v>
      </c>
      <c r="C225" s="52"/>
      <c r="D225" s="53"/>
      <c r="E225" s="53"/>
      <c r="F225" s="53"/>
      <c r="G225" s="53"/>
      <c r="H225" s="53"/>
      <c r="I225" s="53"/>
    </row>
    <row r="226" spans="1:9" hidden="1" x14ac:dyDescent="0.25">
      <c r="A226" s="15">
        <f t="shared" si="3"/>
        <v>0.74652777777777779</v>
      </c>
      <c r="B226" s="16">
        <v>1075</v>
      </c>
      <c r="C226" s="52"/>
      <c r="D226" s="53"/>
      <c r="E226" s="53"/>
      <c r="F226" s="53"/>
      <c r="G226" s="53"/>
      <c r="H226" s="53"/>
      <c r="I226" s="53"/>
    </row>
    <row r="227" spans="1:9" hidden="1" x14ac:dyDescent="0.25">
      <c r="A227" s="15">
        <f t="shared" si="3"/>
        <v>0.75</v>
      </c>
      <c r="B227" s="16">
        <v>1080</v>
      </c>
      <c r="C227" s="52"/>
      <c r="D227" s="53"/>
      <c r="E227" s="53"/>
      <c r="F227" s="53"/>
      <c r="G227" s="53"/>
      <c r="H227" s="53"/>
      <c r="I227" s="53"/>
    </row>
    <row r="228" spans="1:9" hidden="1" x14ac:dyDescent="0.25">
      <c r="A228" s="15">
        <f t="shared" si="3"/>
        <v>0.75347222222222221</v>
      </c>
      <c r="B228" s="16">
        <v>1085</v>
      </c>
      <c r="C228" s="52"/>
      <c r="D228" s="53"/>
      <c r="E228" s="53"/>
      <c r="F228" s="53"/>
      <c r="G228" s="53"/>
      <c r="H228" s="53"/>
      <c r="I228" s="53"/>
    </row>
    <row r="229" spans="1:9" hidden="1" x14ac:dyDescent="0.25">
      <c r="A229" s="15">
        <f t="shared" si="3"/>
        <v>0.75694444444444453</v>
      </c>
      <c r="B229" s="16">
        <v>1090</v>
      </c>
      <c r="C229" s="52"/>
      <c r="D229" s="53"/>
      <c r="E229" s="53"/>
      <c r="F229" s="53"/>
      <c r="G229" s="53"/>
      <c r="H229" s="53"/>
      <c r="I229" s="53"/>
    </row>
    <row r="230" spans="1:9" hidden="1" x14ac:dyDescent="0.25">
      <c r="A230" s="15">
        <f t="shared" si="3"/>
        <v>0.76041666666666663</v>
      </c>
      <c r="B230" s="16">
        <v>1095</v>
      </c>
      <c r="C230" s="52"/>
      <c r="D230" s="53"/>
      <c r="E230" s="53"/>
      <c r="F230" s="53"/>
      <c r="G230" s="53"/>
      <c r="H230" s="53"/>
      <c r="I230" s="53"/>
    </row>
    <row r="231" spans="1:9" hidden="1" x14ac:dyDescent="0.25">
      <c r="A231" s="15">
        <f t="shared" si="3"/>
        <v>0.76388888888888884</v>
      </c>
      <c r="B231" s="16">
        <v>1100</v>
      </c>
      <c r="C231" s="52"/>
      <c r="D231" s="53"/>
      <c r="E231" s="53"/>
      <c r="F231" s="53"/>
      <c r="G231" s="53"/>
      <c r="H231" s="53"/>
      <c r="I231" s="53"/>
    </row>
    <row r="232" spans="1:9" hidden="1" x14ac:dyDescent="0.25">
      <c r="A232" s="15">
        <f t="shared" si="3"/>
        <v>0.76736111111111116</v>
      </c>
      <c r="B232" s="16">
        <v>1105</v>
      </c>
      <c r="C232" s="52"/>
      <c r="D232" s="53"/>
      <c r="E232" s="53"/>
      <c r="F232" s="53"/>
      <c r="G232" s="53"/>
      <c r="H232" s="53"/>
      <c r="I232" s="53"/>
    </row>
    <row r="233" spans="1:9" hidden="1" x14ac:dyDescent="0.25">
      <c r="A233" s="15">
        <f t="shared" si="3"/>
        <v>0.77083333333333337</v>
      </c>
      <c r="B233" s="16">
        <v>1110</v>
      </c>
      <c r="C233" s="52"/>
      <c r="D233" s="53"/>
      <c r="E233" s="53"/>
      <c r="F233" s="53"/>
      <c r="G233" s="53"/>
      <c r="H233" s="53"/>
      <c r="I233" s="53"/>
    </row>
    <row r="234" spans="1:9" hidden="1" x14ac:dyDescent="0.25">
      <c r="A234" s="15">
        <f t="shared" si="3"/>
        <v>0.77430555555555547</v>
      </c>
      <c r="B234" s="16">
        <v>1115</v>
      </c>
      <c r="C234" s="52"/>
      <c r="D234" s="53"/>
      <c r="E234" s="53"/>
      <c r="F234" s="53"/>
      <c r="G234" s="53"/>
      <c r="H234" s="53"/>
      <c r="I234" s="53"/>
    </row>
    <row r="235" spans="1:9" hidden="1" x14ac:dyDescent="0.25">
      <c r="A235" s="15">
        <f t="shared" si="3"/>
        <v>0.77777777777777779</v>
      </c>
      <c r="B235" s="16">
        <v>1120</v>
      </c>
      <c r="C235" s="52"/>
      <c r="D235" s="53"/>
      <c r="E235" s="53"/>
      <c r="F235" s="53"/>
      <c r="G235" s="53"/>
      <c r="H235" s="53"/>
      <c r="I235" s="53"/>
    </row>
    <row r="236" spans="1:9" hidden="1" x14ac:dyDescent="0.25">
      <c r="A236" s="15">
        <f t="shared" si="3"/>
        <v>0.78125</v>
      </c>
      <c r="B236" s="16">
        <v>1125</v>
      </c>
      <c r="C236" s="52"/>
      <c r="D236" s="53"/>
      <c r="E236" s="53"/>
      <c r="F236" s="53"/>
      <c r="G236" s="53"/>
      <c r="H236" s="53"/>
      <c r="I236" s="53"/>
    </row>
    <row r="237" spans="1:9" hidden="1" x14ac:dyDescent="0.25">
      <c r="A237" s="15">
        <f t="shared" si="3"/>
        <v>0.78472222222222221</v>
      </c>
      <c r="B237" s="16">
        <v>1130</v>
      </c>
      <c r="C237" s="52"/>
      <c r="D237" s="53"/>
      <c r="E237" s="53"/>
      <c r="F237" s="53"/>
      <c r="G237" s="53"/>
      <c r="H237" s="53"/>
      <c r="I237" s="53"/>
    </row>
    <row r="238" spans="1:9" hidden="1" x14ac:dyDescent="0.25">
      <c r="A238" s="15">
        <f t="shared" si="3"/>
        <v>0.78819444444444453</v>
      </c>
      <c r="B238" s="16">
        <v>1135</v>
      </c>
      <c r="C238" s="52"/>
      <c r="D238" s="53"/>
      <c r="E238" s="53"/>
      <c r="F238" s="53"/>
      <c r="G238" s="53"/>
      <c r="H238" s="53"/>
      <c r="I238" s="53"/>
    </row>
    <row r="239" spans="1:9" hidden="1" x14ac:dyDescent="0.25">
      <c r="A239" s="15">
        <f t="shared" si="3"/>
        <v>0.79166666666666663</v>
      </c>
      <c r="B239" s="16">
        <v>1140</v>
      </c>
      <c r="C239" s="52"/>
      <c r="D239" s="53"/>
      <c r="E239" s="53"/>
      <c r="F239" s="53"/>
      <c r="G239" s="53"/>
      <c r="H239" s="53"/>
      <c r="I239" s="53"/>
    </row>
    <row r="240" spans="1:9" hidden="1" x14ac:dyDescent="0.25">
      <c r="A240" s="15">
        <f t="shared" si="3"/>
        <v>0.79513888888888884</v>
      </c>
      <c r="B240" s="16">
        <v>1145</v>
      </c>
      <c r="C240" s="52"/>
      <c r="D240" s="53"/>
      <c r="E240" s="53"/>
      <c r="F240" s="53"/>
      <c r="G240" s="53"/>
      <c r="H240" s="53"/>
      <c r="I240" s="54"/>
    </row>
    <row r="241" spans="1:9" hidden="1" x14ac:dyDescent="0.25">
      <c r="A241" s="15">
        <f t="shared" si="3"/>
        <v>0.79861111111111116</v>
      </c>
      <c r="B241" s="16">
        <v>1150</v>
      </c>
      <c r="C241" s="52"/>
      <c r="D241" s="53"/>
      <c r="E241" s="53"/>
      <c r="F241" s="53"/>
      <c r="G241" s="53"/>
      <c r="H241" s="53"/>
      <c r="I241" s="54"/>
    </row>
    <row r="242" spans="1:9" hidden="1" x14ac:dyDescent="0.25">
      <c r="A242" s="15">
        <f t="shared" si="3"/>
        <v>0.80208333333333337</v>
      </c>
      <c r="B242" s="16">
        <v>1155</v>
      </c>
      <c r="C242" s="52"/>
      <c r="D242" s="53"/>
      <c r="E242" s="53"/>
      <c r="F242" s="53"/>
      <c r="G242" s="53"/>
      <c r="H242" s="53"/>
      <c r="I242" s="54"/>
    </row>
    <row r="243" spans="1:9" hidden="1" x14ac:dyDescent="0.25">
      <c r="A243" s="15">
        <f t="shared" si="3"/>
        <v>0.80555555555555547</v>
      </c>
      <c r="B243" s="16">
        <v>1160</v>
      </c>
      <c r="C243" s="52"/>
      <c r="D243" s="53"/>
      <c r="E243" s="53"/>
      <c r="F243" s="53"/>
      <c r="G243" s="53"/>
      <c r="H243" s="53"/>
      <c r="I243" s="54"/>
    </row>
    <row r="244" spans="1:9" hidden="1" x14ac:dyDescent="0.25">
      <c r="A244" s="15">
        <f t="shared" si="3"/>
        <v>0.80902777777777779</v>
      </c>
      <c r="B244" s="16">
        <v>1165</v>
      </c>
      <c r="C244" s="52"/>
      <c r="D244" s="53"/>
      <c r="E244" s="53"/>
      <c r="F244" s="53"/>
      <c r="G244" s="53"/>
      <c r="H244" s="53"/>
      <c r="I244" s="54"/>
    </row>
    <row r="245" spans="1:9" hidden="1" x14ac:dyDescent="0.25">
      <c r="A245" s="15">
        <f t="shared" si="3"/>
        <v>0.8125</v>
      </c>
      <c r="B245" s="16">
        <v>1170</v>
      </c>
      <c r="C245" s="52"/>
      <c r="D245" s="53"/>
      <c r="E245" s="53"/>
      <c r="F245" s="53"/>
      <c r="G245" s="53"/>
      <c r="H245" s="53"/>
      <c r="I245" s="54"/>
    </row>
    <row r="246" spans="1:9" hidden="1" x14ac:dyDescent="0.25">
      <c r="A246" s="15">
        <f t="shared" si="3"/>
        <v>0.81597222222222221</v>
      </c>
      <c r="B246" s="16">
        <v>1175</v>
      </c>
      <c r="C246" s="52"/>
      <c r="D246" s="53"/>
      <c r="E246" s="53"/>
      <c r="F246" s="53"/>
      <c r="G246" s="53"/>
      <c r="H246" s="53"/>
      <c r="I246" s="54"/>
    </row>
    <row r="247" spans="1:9" hidden="1" x14ac:dyDescent="0.25">
      <c r="A247" s="15">
        <f t="shared" si="3"/>
        <v>0.81944444444444453</v>
      </c>
      <c r="B247" s="16">
        <v>1180</v>
      </c>
      <c r="C247" s="52"/>
      <c r="D247" s="53"/>
      <c r="E247" s="53"/>
      <c r="F247" s="53"/>
      <c r="G247" s="53"/>
      <c r="H247" s="53"/>
      <c r="I247" s="54"/>
    </row>
    <row r="248" spans="1:9" hidden="1" x14ac:dyDescent="0.25">
      <c r="A248" s="15">
        <f t="shared" si="3"/>
        <v>0.82291666666666663</v>
      </c>
      <c r="B248" s="16">
        <v>1185</v>
      </c>
      <c r="C248" s="52"/>
      <c r="D248" s="53"/>
      <c r="E248" s="53"/>
      <c r="F248" s="53"/>
      <c r="G248" s="53"/>
      <c r="H248" s="53"/>
      <c r="I248" s="54"/>
    </row>
    <row r="249" spans="1:9" hidden="1" x14ac:dyDescent="0.25">
      <c r="A249" s="15">
        <f t="shared" si="3"/>
        <v>0.82638888888888884</v>
      </c>
      <c r="B249" s="16">
        <v>1190</v>
      </c>
      <c r="C249" s="52"/>
      <c r="D249" s="53"/>
      <c r="E249" s="53"/>
      <c r="F249" s="53"/>
      <c r="G249" s="53"/>
      <c r="H249" s="53"/>
      <c r="I249" s="54"/>
    </row>
    <row r="250" spans="1:9" hidden="1" x14ac:dyDescent="0.25">
      <c r="A250" s="15">
        <f t="shared" si="3"/>
        <v>0.82986111111111116</v>
      </c>
      <c r="B250" s="16">
        <v>1195</v>
      </c>
      <c r="C250" s="52"/>
      <c r="D250" s="53"/>
      <c r="E250" s="53"/>
      <c r="F250" s="53"/>
      <c r="G250" s="53"/>
      <c r="H250" s="53"/>
      <c r="I250" s="54"/>
    </row>
    <row r="251" spans="1:9" hidden="1" x14ac:dyDescent="0.25">
      <c r="A251" s="15">
        <f t="shared" si="3"/>
        <v>0.83333333333333337</v>
      </c>
      <c r="B251" s="16">
        <v>1200</v>
      </c>
      <c r="C251" s="52"/>
      <c r="D251" s="53"/>
      <c r="E251" s="53"/>
      <c r="F251" s="53"/>
      <c r="G251" s="53"/>
      <c r="H251" s="53"/>
      <c r="I251" s="54"/>
    </row>
    <row r="252" spans="1:9" hidden="1" x14ac:dyDescent="0.25">
      <c r="A252" s="15">
        <f t="shared" si="3"/>
        <v>0.83680555555555547</v>
      </c>
      <c r="B252" s="16">
        <v>1205</v>
      </c>
      <c r="C252" s="52"/>
      <c r="D252" s="53"/>
      <c r="E252" s="53"/>
      <c r="F252" s="53"/>
      <c r="G252" s="53"/>
      <c r="H252" s="53"/>
      <c r="I252" s="54"/>
    </row>
    <row r="253" spans="1:9" hidden="1" x14ac:dyDescent="0.25">
      <c r="A253" s="15">
        <f t="shared" si="3"/>
        <v>0.84027777777777779</v>
      </c>
      <c r="B253" s="16">
        <v>1210</v>
      </c>
      <c r="C253" s="52"/>
      <c r="D253" s="53"/>
      <c r="E253" s="53"/>
      <c r="F253" s="53"/>
      <c r="G253" s="53"/>
      <c r="H253" s="53"/>
      <c r="I253" s="54"/>
    </row>
    <row r="254" spans="1:9" hidden="1" x14ac:dyDescent="0.25">
      <c r="A254" s="15">
        <f t="shared" si="3"/>
        <v>0.84375</v>
      </c>
      <c r="B254" s="16">
        <v>1215</v>
      </c>
      <c r="C254" s="52"/>
      <c r="D254" s="53"/>
      <c r="E254" s="53"/>
      <c r="F254" s="53"/>
      <c r="G254" s="53"/>
      <c r="H254" s="53"/>
      <c r="I254" s="54"/>
    </row>
    <row r="255" spans="1:9" hidden="1" x14ac:dyDescent="0.25">
      <c r="A255" s="15">
        <f t="shared" si="3"/>
        <v>0.84722222222222221</v>
      </c>
      <c r="B255" s="16">
        <v>1220</v>
      </c>
      <c r="C255" s="52"/>
      <c r="D255" s="53"/>
      <c r="E255" s="53"/>
      <c r="F255" s="53"/>
      <c r="G255" s="53"/>
      <c r="H255" s="53"/>
      <c r="I255" s="54"/>
    </row>
    <row r="256" spans="1:9" hidden="1" x14ac:dyDescent="0.25">
      <c r="A256" s="15">
        <f t="shared" si="3"/>
        <v>0.85069444444444453</v>
      </c>
      <c r="B256" s="16">
        <v>1225</v>
      </c>
      <c r="C256" s="52"/>
      <c r="D256" s="53"/>
      <c r="E256" s="53"/>
      <c r="F256" s="53"/>
      <c r="G256" s="53"/>
      <c r="H256" s="53"/>
      <c r="I256" s="54"/>
    </row>
    <row r="257" spans="1:9" hidden="1" x14ac:dyDescent="0.25">
      <c r="A257" s="15">
        <f t="shared" si="3"/>
        <v>0.85416666666666663</v>
      </c>
      <c r="B257" s="16">
        <v>1230</v>
      </c>
      <c r="C257" s="52"/>
      <c r="D257" s="53"/>
      <c r="E257" s="53"/>
      <c r="F257" s="53"/>
      <c r="G257" s="53"/>
      <c r="H257" s="53"/>
      <c r="I257" s="54"/>
    </row>
    <row r="258" spans="1:9" hidden="1" x14ac:dyDescent="0.25">
      <c r="A258" s="15">
        <f t="shared" si="3"/>
        <v>0.85763888888888884</v>
      </c>
      <c r="B258" s="16">
        <v>1235</v>
      </c>
      <c r="C258" s="52"/>
      <c r="D258" s="53"/>
      <c r="E258" s="53"/>
      <c r="F258" s="53"/>
      <c r="G258" s="53"/>
      <c r="H258" s="53"/>
      <c r="I258" s="54"/>
    </row>
    <row r="259" spans="1:9" hidden="1" x14ac:dyDescent="0.25">
      <c r="A259" s="15">
        <f t="shared" si="3"/>
        <v>0.86111111111111116</v>
      </c>
      <c r="B259" s="16">
        <v>1240</v>
      </c>
      <c r="C259" s="52"/>
      <c r="D259" s="53"/>
      <c r="E259" s="53"/>
      <c r="F259" s="53"/>
      <c r="G259" s="53"/>
      <c r="H259" s="53"/>
      <c r="I259" s="54"/>
    </row>
    <row r="260" spans="1:9" hidden="1" x14ac:dyDescent="0.25">
      <c r="A260" s="15">
        <f t="shared" si="3"/>
        <v>0.86458333333333337</v>
      </c>
      <c r="B260" s="16">
        <v>1245</v>
      </c>
      <c r="C260" s="52"/>
      <c r="D260" s="53"/>
      <c r="E260" s="53"/>
      <c r="F260" s="53"/>
      <c r="G260" s="53"/>
      <c r="H260" s="53"/>
      <c r="I260" s="54"/>
    </row>
    <row r="261" spans="1:9" hidden="1" x14ac:dyDescent="0.25">
      <c r="A261" s="15">
        <f t="shared" si="3"/>
        <v>0.86805555555555547</v>
      </c>
      <c r="B261" s="16">
        <v>1250</v>
      </c>
      <c r="C261" s="52"/>
      <c r="D261" s="53"/>
      <c r="E261" s="53"/>
      <c r="F261" s="53"/>
      <c r="G261" s="53"/>
      <c r="H261" s="53"/>
      <c r="I261" s="54"/>
    </row>
    <row r="262" spans="1:9" hidden="1" x14ac:dyDescent="0.25">
      <c r="A262" s="15">
        <f t="shared" si="3"/>
        <v>0.87152777777777779</v>
      </c>
      <c r="B262" s="16">
        <v>1255</v>
      </c>
      <c r="C262" s="52"/>
      <c r="D262" s="53"/>
      <c r="E262" s="53"/>
      <c r="F262" s="53"/>
      <c r="G262" s="53"/>
      <c r="H262" s="53"/>
      <c r="I262" s="54"/>
    </row>
    <row r="263" spans="1:9" hidden="1" x14ac:dyDescent="0.25">
      <c r="A263" s="15">
        <f t="shared" si="3"/>
        <v>0.875</v>
      </c>
      <c r="B263" s="16">
        <v>1260</v>
      </c>
      <c r="C263" s="52"/>
      <c r="D263" s="53"/>
      <c r="E263" s="53"/>
      <c r="F263" s="53"/>
      <c r="G263" s="53"/>
      <c r="H263" s="53"/>
      <c r="I263" s="54"/>
    </row>
    <row r="264" spans="1:9" hidden="1" x14ac:dyDescent="0.25">
      <c r="A264" s="15">
        <f t="shared" si="3"/>
        <v>0.87847222222222221</v>
      </c>
      <c r="B264" s="16">
        <v>1265</v>
      </c>
      <c r="C264" s="52"/>
      <c r="D264" s="53"/>
      <c r="E264" s="53"/>
      <c r="F264" s="53"/>
      <c r="G264" s="53"/>
      <c r="H264" s="53"/>
      <c r="I264" s="54"/>
    </row>
    <row r="265" spans="1:9" hidden="1" x14ac:dyDescent="0.25">
      <c r="A265" s="15">
        <f t="shared" si="3"/>
        <v>0.88194444444444453</v>
      </c>
      <c r="B265" s="16">
        <v>1270</v>
      </c>
      <c r="C265" s="52"/>
      <c r="D265" s="53"/>
      <c r="E265" s="53"/>
      <c r="F265" s="53"/>
      <c r="G265" s="53"/>
      <c r="H265" s="53"/>
      <c r="I265" s="54"/>
    </row>
    <row r="266" spans="1:9" hidden="1" x14ac:dyDescent="0.25">
      <c r="A266" s="15">
        <f t="shared" si="3"/>
        <v>0.88541666666666663</v>
      </c>
      <c r="B266" s="16">
        <v>1275</v>
      </c>
      <c r="C266" s="52"/>
      <c r="D266" s="53"/>
      <c r="E266" s="53"/>
      <c r="F266" s="53"/>
      <c r="G266" s="53"/>
      <c r="H266" s="53"/>
      <c r="I266" s="54"/>
    </row>
    <row r="267" spans="1:9" hidden="1" x14ac:dyDescent="0.25">
      <c r="A267" s="15">
        <f t="shared" si="3"/>
        <v>0.88888888888888884</v>
      </c>
      <c r="B267" s="16">
        <v>1280</v>
      </c>
      <c r="C267" s="52"/>
      <c r="D267" s="53"/>
      <c r="E267" s="53"/>
      <c r="F267" s="53"/>
      <c r="G267" s="53"/>
      <c r="H267" s="53"/>
      <c r="I267" s="54"/>
    </row>
    <row r="268" spans="1:9" hidden="1" x14ac:dyDescent="0.25">
      <c r="A268" s="15">
        <f t="shared" ref="A268:A298" si="4">TIME(,B268,)</f>
        <v>0.89236111111111116</v>
      </c>
      <c r="B268" s="16">
        <v>1285</v>
      </c>
      <c r="C268" s="52"/>
      <c r="D268" s="53"/>
      <c r="E268" s="53"/>
      <c r="F268" s="53"/>
      <c r="G268" s="53"/>
      <c r="H268" s="53"/>
      <c r="I268" s="54"/>
    </row>
    <row r="269" spans="1:9" hidden="1" x14ac:dyDescent="0.25">
      <c r="A269" s="15">
        <f t="shared" si="4"/>
        <v>0.89583333333333337</v>
      </c>
      <c r="B269" s="16">
        <v>1290</v>
      </c>
      <c r="C269" s="52"/>
      <c r="D269" s="53"/>
      <c r="E269" s="53"/>
      <c r="F269" s="53"/>
      <c r="G269" s="53"/>
      <c r="H269" s="53"/>
      <c r="I269" s="54"/>
    </row>
    <row r="270" spans="1:9" hidden="1" x14ac:dyDescent="0.25">
      <c r="A270" s="15">
        <f t="shared" si="4"/>
        <v>0.89930555555555547</v>
      </c>
      <c r="B270" s="16">
        <v>1295</v>
      </c>
      <c r="C270" s="52"/>
      <c r="D270" s="53"/>
      <c r="E270" s="53"/>
      <c r="F270" s="53"/>
      <c r="G270" s="53"/>
      <c r="H270" s="53"/>
      <c r="I270" s="54"/>
    </row>
    <row r="271" spans="1:9" hidden="1" x14ac:dyDescent="0.25">
      <c r="A271" s="15">
        <f t="shared" si="4"/>
        <v>0.90277777777777779</v>
      </c>
      <c r="B271" s="16">
        <v>1300</v>
      </c>
      <c r="C271" s="52"/>
      <c r="D271" s="53"/>
      <c r="E271" s="53"/>
      <c r="F271" s="53"/>
      <c r="G271" s="53"/>
      <c r="H271" s="53"/>
      <c r="I271" s="54"/>
    </row>
    <row r="272" spans="1:9" hidden="1" x14ac:dyDescent="0.25">
      <c r="A272" s="15">
        <f t="shared" si="4"/>
        <v>0.90625</v>
      </c>
      <c r="B272" s="16">
        <v>1305</v>
      </c>
      <c r="C272" s="52"/>
      <c r="D272" s="53"/>
      <c r="E272" s="53"/>
      <c r="F272" s="53"/>
      <c r="G272" s="53"/>
      <c r="H272" s="53"/>
      <c r="I272" s="54"/>
    </row>
    <row r="273" spans="1:9" hidden="1" x14ac:dyDescent="0.25">
      <c r="A273" s="15">
        <f t="shared" si="4"/>
        <v>0.90972222222222221</v>
      </c>
      <c r="B273" s="16">
        <v>1310</v>
      </c>
      <c r="C273" s="52"/>
      <c r="D273" s="53"/>
      <c r="E273" s="53"/>
      <c r="F273" s="53"/>
      <c r="G273" s="53"/>
      <c r="H273" s="53"/>
      <c r="I273" s="54"/>
    </row>
    <row r="274" spans="1:9" hidden="1" x14ac:dyDescent="0.25">
      <c r="A274" s="15">
        <f t="shared" si="4"/>
        <v>0.91319444444444453</v>
      </c>
      <c r="B274" s="16">
        <v>1315</v>
      </c>
      <c r="C274" s="52"/>
      <c r="D274" s="53"/>
      <c r="E274" s="53"/>
      <c r="F274" s="53"/>
      <c r="G274" s="53"/>
      <c r="H274" s="53"/>
      <c r="I274" s="54"/>
    </row>
    <row r="275" spans="1:9" hidden="1" x14ac:dyDescent="0.25">
      <c r="A275" s="15">
        <f t="shared" si="4"/>
        <v>0.91666666666666663</v>
      </c>
      <c r="B275" s="16">
        <v>1320</v>
      </c>
      <c r="C275" s="52"/>
      <c r="D275" s="53"/>
      <c r="E275" s="53"/>
      <c r="F275" s="53"/>
      <c r="G275" s="53"/>
      <c r="H275" s="53"/>
      <c r="I275" s="54"/>
    </row>
    <row r="276" spans="1:9" hidden="1" x14ac:dyDescent="0.25">
      <c r="A276" s="15">
        <f t="shared" si="4"/>
        <v>0.92013888888888884</v>
      </c>
      <c r="B276" s="16">
        <v>1325</v>
      </c>
      <c r="C276" s="52"/>
      <c r="D276" s="53"/>
      <c r="E276" s="53"/>
      <c r="F276" s="53"/>
      <c r="G276" s="53"/>
      <c r="H276" s="53"/>
      <c r="I276" s="54"/>
    </row>
    <row r="277" spans="1:9" hidden="1" x14ac:dyDescent="0.25">
      <c r="A277" s="15">
        <f t="shared" si="4"/>
        <v>0.92361111111111116</v>
      </c>
      <c r="B277" s="16">
        <v>1330</v>
      </c>
      <c r="C277" s="52"/>
      <c r="D277" s="53"/>
      <c r="E277" s="53"/>
      <c r="F277" s="53"/>
      <c r="G277" s="53"/>
      <c r="H277" s="53"/>
      <c r="I277" s="54"/>
    </row>
    <row r="278" spans="1:9" hidden="1" x14ac:dyDescent="0.25">
      <c r="A278" s="15">
        <f t="shared" si="4"/>
        <v>0.92708333333333337</v>
      </c>
      <c r="B278" s="16">
        <v>1335</v>
      </c>
      <c r="C278" s="52"/>
      <c r="D278" s="53"/>
      <c r="E278" s="53"/>
      <c r="F278" s="53"/>
      <c r="G278" s="53"/>
      <c r="H278" s="53"/>
      <c r="I278" s="54"/>
    </row>
    <row r="279" spans="1:9" hidden="1" x14ac:dyDescent="0.25">
      <c r="A279" s="15">
        <f t="shared" si="4"/>
        <v>0.93055555555555547</v>
      </c>
      <c r="B279" s="16">
        <v>1340</v>
      </c>
      <c r="C279" s="52"/>
      <c r="D279" s="53"/>
      <c r="E279" s="53"/>
      <c r="F279" s="53"/>
      <c r="G279" s="53"/>
      <c r="H279" s="53"/>
      <c r="I279" s="54"/>
    </row>
    <row r="280" spans="1:9" hidden="1" x14ac:dyDescent="0.25">
      <c r="A280" s="15">
        <f t="shared" si="4"/>
        <v>0.93402777777777779</v>
      </c>
      <c r="B280" s="16">
        <v>1345</v>
      </c>
      <c r="C280" s="52"/>
      <c r="D280" s="53"/>
      <c r="E280" s="53"/>
      <c r="F280" s="53"/>
      <c r="G280" s="53"/>
      <c r="H280" s="53"/>
      <c r="I280" s="54"/>
    </row>
    <row r="281" spans="1:9" hidden="1" x14ac:dyDescent="0.25">
      <c r="A281" s="15">
        <f t="shared" si="4"/>
        <v>0.9375</v>
      </c>
      <c r="B281" s="16">
        <v>1350</v>
      </c>
      <c r="C281" s="52"/>
      <c r="D281" s="53"/>
      <c r="E281" s="53"/>
      <c r="F281" s="53"/>
      <c r="G281" s="53"/>
      <c r="H281" s="53"/>
      <c r="I281" s="54"/>
    </row>
    <row r="282" spans="1:9" hidden="1" x14ac:dyDescent="0.25">
      <c r="A282" s="15">
        <f t="shared" si="4"/>
        <v>0.94097222222222221</v>
      </c>
      <c r="B282" s="16">
        <v>1355</v>
      </c>
      <c r="C282" s="52"/>
      <c r="D282" s="53"/>
      <c r="E282" s="53"/>
      <c r="F282" s="53"/>
      <c r="G282" s="53"/>
      <c r="H282" s="53"/>
      <c r="I282" s="54"/>
    </row>
    <row r="283" spans="1:9" hidden="1" x14ac:dyDescent="0.25">
      <c r="A283" s="15">
        <f t="shared" si="4"/>
        <v>0.94444444444444453</v>
      </c>
      <c r="B283" s="16">
        <v>1360</v>
      </c>
      <c r="C283" s="52"/>
      <c r="D283" s="53"/>
      <c r="E283" s="53"/>
      <c r="F283" s="53"/>
      <c r="G283" s="53"/>
      <c r="H283" s="53"/>
      <c r="I283" s="54"/>
    </row>
    <row r="284" spans="1:9" hidden="1" x14ac:dyDescent="0.25">
      <c r="A284" s="15">
        <f t="shared" si="4"/>
        <v>0.94791666666666663</v>
      </c>
      <c r="B284" s="16">
        <v>1365</v>
      </c>
      <c r="C284" s="52"/>
      <c r="D284" s="53"/>
      <c r="E284" s="53"/>
      <c r="F284" s="53"/>
      <c r="G284" s="53"/>
      <c r="H284" s="53"/>
      <c r="I284" s="54"/>
    </row>
    <row r="285" spans="1:9" hidden="1" x14ac:dyDescent="0.25">
      <c r="A285" s="15">
        <f t="shared" si="4"/>
        <v>0.95138888888888884</v>
      </c>
      <c r="B285" s="16">
        <v>1370</v>
      </c>
      <c r="C285" s="52"/>
      <c r="D285" s="53"/>
      <c r="E285" s="53"/>
      <c r="F285" s="53"/>
      <c r="G285" s="53"/>
      <c r="H285" s="53"/>
      <c r="I285" s="54"/>
    </row>
    <row r="286" spans="1:9" hidden="1" x14ac:dyDescent="0.25">
      <c r="A286" s="15">
        <f t="shared" si="4"/>
        <v>0.95486111111111116</v>
      </c>
      <c r="B286" s="16">
        <v>1375</v>
      </c>
      <c r="C286" s="52"/>
      <c r="D286" s="53"/>
      <c r="E286" s="53"/>
      <c r="F286" s="53"/>
      <c r="G286" s="53"/>
      <c r="H286" s="53"/>
      <c r="I286" s="54"/>
    </row>
    <row r="287" spans="1:9" hidden="1" x14ac:dyDescent="0.25">
      <c r="A287" s="15">
        <f t="shared" si="4"/>
        <v>0.95833333333333337</v>
      </c>
      <c r="B287" s="16">
        <v>1380</v>
      </c>
      <c r="C287" s="52"/>
      <c r="D287" s="53"/>
      <c r="E287" s="53"/>
      <c r="F287" s="53"/>
      <c r="G287" s="53"/>
      <c r="H287" s="53"/>
      <c r="I287" s="54"/>
    </row>
    <row r="288" spans="1:9" hidden="1" x14ac:dyDescent="0.25">
      <c r="A288" s="15">
        <f t="shared" si="4"/>
        <v>0.96180555555555547</v>
      </c>
      <c r="B288" s="16">
        <v>1385</v>
      </c>
      <c r="C288" s="52"/>
      <c r="D288" s="53"/>
      <c r="E288" s="53"/>
      <c r="F288" s="53"/>
      <c r="G288" s="53"/>
      <c r="H288" s="53"/>
      <c r="I288" s="54"/>
    </row>
    <row r="289" spans="1:9" hidden="1" x14ac:dyDescent="0.25">
      <c r="A289" s="15">
        <f t="shared" si="4"/>
        <v>0.96527777777777779</v>
      </c>
      <c r="B289" s="16">
        <v>1390</v>
      </c>
      <c r="C289" s="52"/>
      <c r="D289" s="53"/>
      <c r="E289" s="53"/>
      <c r="F289" s="53"/>
      <c r="G289" s="53"/>
      <c r="H289" s="53"/>
      <c r="I289" s="54"/>
    </row>
    <row r="290" spans="1:9" hidden="1" x14ac:dyDescent="0.25">
      <c r="A290" s="15">
        <f t="shared" si="4"/>
        <v>0.96875</v>
      </c>
      <c r="B290" s="16">
        <v>1395</v>
      </c>
      <c r="C290" s="52"/>
      <c r="D290" s="53"/>
      <c r="E290" s="53"/>
      <c r="F290" s="53"/>
      <c r="G290" s="53"/>
      <c r="H290" s="53"/>
      <c r="I290" s="54"/>
    </row>
    <row r="291" spans="1:9" hidden="1" x14ac:dyDescent="0.25">
      <c r="A291" s="15">
        <f t="shared" si="4"/>
        <v>0.97222222222222221</v>
      </c>
      <c r="B291" s="16">
        <v>1400</v>
      </c>
      <c r="C291" s="52"/>
      <c r="D291" s="53"/>
      <c r="E291" s="53"/>
      <c r="F291" s="53"/>
      <c r="G291" s="53"/>
      <c r="H291" s="53"/>
      <c r="I291" s="54"/>
    </row>
    <row r="292" spans="1:9" hidden="1" x14ac:dyDescent="0.25">
      <c r="A292" s="15">
        <f t="shared" si="4"/>
        <v>0.97569444444444453</v>
      </c>
      <c r="B292" s="16">
        <v>1405</v>
      </c>
      <c r="C292" s="52"/>
      <c r="D292" s="53"/>
      <c r="E292" s="53"/>
      <c r="F292" s="53"/>
      <c r="G292" s="53"/>
      <c r="H292" s="53"/>
      <c r="I292" s="54"/>
    </row>
    <row r="293" spans="1:9" hidden="1" x14ac:dyDescent="0.25">
      <c r="A293" s="15">
        <f t="shared" si="4"/>
        <v>0.97916666666666663</v>
      </c>
      <c r="B293" s="16">
        <v>1410</v>
      </c>
      <c r="C293" s="52"/>
      <c r="D293" s="53"/>
      <c r="E293" s="53"/>
      <c r="F293" s="53"/>
      <c r="G293" s="53"/>
      <c r="H293" s="53"/>
      <c r="I293" s="54"/>
    </row>
    <row r="294" spans="1:9" hidden="1" x14ac:dyDescent="0.25">
      <c r="A294" s="15">
        <f t="shared" si="4"/>
        <v>0.98263888888888884</v>
      </c>
      <c r="B294" s="16">
        <v>1415</v>
      </c>
      <c r="C294" s="52"/>
      <c r="D294" s="53"/>
      <c r="E294" s="53"/>
      <c r="F294" s="53"/>
      <c r="G294" s="53"/>
      <c r="H294" s="53"/>
      <c r="I294" s="54"/>
    </row>
    <row r="295" spans="1:9" hidden="1" x14ac:dyDescent="0.25">
      <c r="A295" s="15">
        <f t="shared" si="4"/>
        <v>0.98611111111111116</v>
      </c>
      <c r="B295" s="16">
        <v>1420</v>
      </c>
      <c r="C295" s="52"/>
      <c r="D295" s="53"/>
      <c r="E295" s="53"/>
      <c r="F295" s="53"/>
      <c r="G295" s="53"/>
      <c r="H295" s="53"/>
      <c r="I295" s="54"/>
    </row>
    <row r="296" spans="1:9" hidden="1" x14ac:dyDescent="0.25">
      <c r="A296" s="15">
        <f t="shared" si="4"/>
        <v>0.98958333333333337</v>
      </c>
      <c r="B296" s="16">
        <v>1425</v>
      </c>
      <c r="C296" s="52"/>
      <c r="D296" s="53"/>
      <c r="E296" s="53"/>
      <c r="F296" s="53"/>
      <c r="G296" s="53"/>
      <c r="H296" s="53"/>
      <c r="I296" s="54"/>
    </row>
    <row r="297" spans="1:9" hidden="1" x14ac:dyDescent="0.25">
      <c r="A297" s="15">
        <f t="shared" si="4"/>
        <v>0.99305555555555547</v>
      </c>
      <c r="B297" s="16">
        <v>1430</v>
      </c>
      <c r="C297" s="52"/>
      <c r="D297" s="53"/>
      <c r="E297" s="53"/>
      <c r="F297" s="53"/>
      <c r="G297" s="53"/>
      <c r="H297" s="53"/>
      <c r="I297" s="54"/>
    </row>
    <row r="298" spans="1:9" hidden="1" x14ac:dyDescent="0.25">
      <c r="A298" s="15">
        <f t="shared" si="4"/>
        <v>0.99652777777777779</v>
      </c>
      <c r="B298" s="16">
        <v>1435</v>
      </c>
      <c r="C298" s="52"/>
      <c r="D298" s="52"/>
      <c r="E298" s="52"/>
      <c r="F298" s="52"/>
      <c r="G298" s="52"/>
      <c r="H298" s="52"/>
      <c r="I298" s="52"/>
    </row>
  </sheetData>
  <autoFilter ref="A10:A298" xr:uid="{C71049CB-5C53-430D-8203-39A33AED2C13}">
    <filterColumn colId="0">
      <customFilters and="1">
        <customFilter operator="greaterThanOrEqual" val="0.41666666666666669"/>
        <customFilter operator="lessThanOrEqual" val="0.70486111111111116"/>
      </customFilters>
    </filterColumn>
  </autoFilter>
  <mergeCells count="1">
    <mergeCell ref="F3:H8"/>
  </mergeCells>
  <dataValidations count="3">
    <dataValidation type="list" allowBlank="1" showInputMessage="1" showErrorMessage="1" sqref="D7" xr:uid="{7963AB78-E40E-44C3-9BB2-2058C5F3432B}">
      <formula1>lst_Doctores</formula1>
    </dataValidation>
    <dataValidation type="list" allowBlank="1" showInputMessage="1" showErrorMessage="1" sqref="D5" xr:uid="{04A19C48-926F-43F1-934A-6AACD086DAA3}">
      <formula1>lst_HorasA</formula1>
    </dataValidation>
    <dataValidation type="list" allowBlank="1" showInputMessage="1" showErrorMessage="1" sqref="D6" xr:uid="{E6A383E7-770B-4895-9375-C4274D470091}">
      <formula1>lst_HorasAF</formula1>
    </dataValidation>
  </dataValidations>
  <pageMargins left="0.7" right="0.7" top="0.75" bottom="0.75" header="0.3" footer="0.3"/>
  <drawing r:id="rId1"/>
  <legacyDrawing r:id="rId2"/>
  <controls>
    <mc:AlternateContent xmlns:mc="http://schemas.openxmlformats.org/markup-compatibility/2006">
      <mc:Choice Requires="x14">
        <control shapeId="8202" r:id="rId3" name="horarioActual_Backlabel3">
          <controlPr defaultSize="0" autoLine="0" r:id="rId4">
            <anchor moveWithCells="1">
              <from>
                <xdr:col>6</xdr:col>
                <xdr:colOff>295275</xdr:colOff>
                <xdr:row>0</xdr:row>
                <xdr:rowOff>285750</xdr:rowOff>
              </from>
              <to>
                <xdr:col>9</xdr:col>
                <xdr:colOff>685800</xdr:colOff>
                <xdr:row>8</xdr:row>
                <xdr:rowOff>171450</xdr:rowOff>
              </to>
            </anchor>
          </controlPr>
        </control>
      </mc:Choice>
      <mc:Fallback>
        <control shapeId="8202" r:id="rId3" name="horarioActual_Backlabel3"/>
      </mc:Fallback>
    </mc:AlternateContent>
    <mc:AlternateContent xmlns:mc="http://schemas.openxmlformats.org/markup-compatibility/2006">
      <mc:Choice Requires="x14">
        <control shapeId="8201" r:id="rId5" name="horarioActual_Backlabel2">
          <controlPr defaultSize="0" autoLine="0" autoPict="0" r:id="rId6">
            <anchor moveWithCells="1">
              <from>
                <xdr:col>4</xdr:col>
                <xdr:colOff>171450</xdr:colOff>
                <xdr:row>1</xdr:row>
                <xdr:rowOff>123825</xdr:rowOff>
              </from>
              <to>
                <xdr:col>5</xdr:col>
                <xdr:colOff>619125</xdr:colOff>
                <xdr:row>8</xdr:row>
                <xdr:rowOff>76200</xdr:rowOff>
              </to>
            </anchor>
          </controlPr>
        </control>
      </mc:Choice>
      <mc:Fallback>
        <control shapeId="8201" r:id="rId5" name="horarioActual_Backlabel2"/>
      </mc:Fallback>
    </mc:AlternateContent>
    <mc:AlternateContent xmlns:mc="http://schemas.openxmlformats.org/markup-compatibility/2006">
      <mc:Choice Requires="x14">
        <control shapeId="8193" r:id="rId7" name="horarioActual_Backlabel">
          <controlPr defaultSize="0" autoLine="0" autoPict="0" r:id="rId8">
            <anchor moveWithCells="1">
              <from>
                <xdr:col>0</xdr:col>
                <xdr:colOff>666750</xdr:colOff>
                <xdr:row>2</xdr:row>
                <xdr:rowOff>66675</xdr:rowOff>
              </from>
              <to>
                <xdr:col>2</xdr:col>
                <xdr:colOff>1085850</xdr:colOff>
                <xdr:row>9</xdr:row>
                <xdr:rowOff>152400</xdr:rowOff>
              </to>
            </anchor>
          </controlPr>
        </control>
      </mc:Choice>
      <mc:Fallback>
        <control shapeId="8193" r:id="rId7" name="horarioActual_Backlabel"/>
      </mc:Fallback>
    </mc:AlternateContent>
    <mc:AlternateContent xmlns:mc="http://schemas.openxmlformats.org/markup-compatibility/2006">
      <mc:Choice Requires="x14">
        <control shapeId="8195" r:id="rId9" name="LHorAct1">
          <controlPr defaultSize="0" autoLine="0" r:id="rId10">
            <anchor moveWithCells="1">
              <from>
                <xdr:col>2</xdr:col>
                <xdr:colOff>38100</xdr:colOff>
                <xdr:row>6</xdr:row>
                <xdr:rowOff>238125</xdr:rowOff>
              </from>
              <to>
                <xdr:col>2</xdr:col>
                <xdr:colOff>485775</xdr:colOff>
                <xdr:row>9</xdr:row>
                <xdr:rowOff>47625</xdr:rowOff>
              </to>
            </anchor>
          </controlPr>
        </control>
      </mc:Choice>
      <mc:Fallback>
        <control shapeId="8195" r:id="rId9" name="LHorAct1"/>
      </mc:Fallback>
    </mc:AlternateContent>
    <mc:AlternateContent xmlns:mc="http://schemas.openxmlformats.org/markup-compatibility/2006">
      <mc:Choice Requires="x14">
        <control shapeId="8196" r:id="rId11" name="LhorAct3">
          <controlPr defaultSize="0" autoLine="0" r:id="rId12">
            <anchor moveWithCells="1">
              <from>
                <xdr:col>4</xdr:col>
                <xdr:colOff>295275</xdr:colOff>
                <xdr:row>4</xdr:row>
                <xdr:rowOff>0</xdr:rowOff>
              </from>
              <to>
                <xdr:col>4</xdr:col>
                <xdr:colOff>647700</xdr:colOff>
                <xdr:row>5</xdr:row>
                <xdr:rowOff>161925</xdr:rowOff>
              </to>
            </anchor>
          </controlPr>
        </control>
      </mc:Choice>
      <mc:Fallback>
        <control shapeId="8196" r:id="rId11" name="LhorAct3"/>
      </mc:Fallback>
    </mc:AlternateContent>
    <mc:AlternateContent xmlns:mc="http://schemas.openxmlformats.org/markup-compatibility/2006">
      <mc:Choice Requires="x14">
        <control shapeId="8197" r:id="rId13" name="LhorAct5">
          <controlPr defaultSize="0" autoLine="0" r:id="rId14">
            <anchor moveWithCells="1">
              <from>
                <xdr:col>8</xdr:col>
                <xdr:colOff>304800</xdr:colOff>
                <xdr:row>6</xdr:row>
                <xdr:rowOff>238125</xdr:rowOff>
              </from>
              <to>
                <xdr:col>8</xdr:col>
                <xdr:colOff>685800</xdr:colOff>
                <xdr:row>8</xdr:row>
                <xdr:rowOff>123825</xdr:rowOff>
              </to>
            </anchor>
          </controlPr>
        </control>
      </mc:Choice>
      <mc:Fallback>
        <control shapeId="8197" r:id="rId13" name="LhorAct5"/>
      </mc:Fallback>
    </mc:AlternateContent>
    <mc:AlternateContent xmlns:mc="http://schemas.openxmlformats.org/markup-compatibility/2006">
      <mc:Choice Requires="x14">
        <control shapeId="8198" r:id="rId15" name="LhorAct2">
          <controlPr defaultSize="0" autoLine="0" r:id="rId16">
            <anchor moveWithCells="1">
              <from>
                <xdr:col>2</xdr:col>
                <xdr:colOff>533400</xdr:colOff>
                <xdr:row>6</xdr:row>
                <xdr:rowOff>219075</xdr:rowOff>
              </from>
              <to>
                <xdr:col>2</xdr:col>
                <xdr:colOff>981075</xdr:colOff>
                <xdr:row>9</xdr:row>
                <xdr:rowOff>66675</xdr:rowOff>
              </to>
            </anchor>
          </controlPr>
        </control>
      </mc:Choice>
      <mc:Fallback>
        <control shapeId="8198" r:id="rId15" name="LhorAct2"/>
      </mc:Fallback>
    </mc:AlternateContent>
    <mc:AlternateContent xmlns:mc="http://schemas.openxmlformats.org/markup-compatibility/2006">
      <mc:Choice Requires="x14">
        <control shapeId="8199" r:id="rId17" name="LhorAct4">
          <controlPr defaultSize="0" autoLine="0" r:id="rId18">
            <anchor moveWithCells="1">
              <from>
                <xdr:col>4</xdr:col>
                <xdr:colOff>304800</xdr:colOff>
                <xdr:row>5</xdr:row>
                <xdr:rowOff>180975</xdr:rowOff>
              </from>
              <to>
                <xdr:col>4</xdr:col>
                <xdr:colOff>638175</xdr:colOff>
                <xdr:row>7</xdr:row>
                <xdr:rowOff>28575</xdr:rowOff>
              </to>
            </anchor>
          </controlPr>
        </control>
      </mc:Choice>
      <mc:Fallback>
        <control shapeId="8199" r:id="rId17" name="LhorAct4"/>
      </mc:Fallback>
    </mc:AlternateContent>
    <mc:AlternateContent xmlns:mc="http://schemas.openxmlformats.org/markup-compatibility/2006">
      <mc:Choice Requires="x14">
        <control shapeId="8200" r:id="rId19" name="LhorAct6">
          <controlPr defaultSize="0" autoLine="0" r:id="rId20">
            <anchor moveWithCells="1">
              <from>
                <xdr:col>8</xdr:col>
                <xdr:colOff>771525</xdr:colOff>
                <xdr:row>6</xdr:row>
                <xdr:rowOff>200025</xdr:rowOff>
              </from>
              <to>
                <xdr:col>8</xdr:col>
                <xdr:colOff>1133475</xdr:colOff>
                <xdr:row>8</xdr:row>
                <xdr:rowOff>133350</xdr:rowOff>
              </to>
            </anchor>
          </controlPr>
        </control>
      </mc:Choice>
      <mc:Fallback>
        <control shapeId="8200" r:id="rId19" name="LhorAct6"/>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FD4D9-66F7-42BF-BEA0-898C970AE597}">
  <sheetPr codeName="Sheet8" filterMode="1"/>
  <dimension ref="A1:BZ298"/>
  <sheetViews>
    <sheetView showGridLines="0" zoomScale="85" zoomScaleNormal="85" workbookViewId="0">
      <pane xSplit="2" ySplit="10" topLeftCell="C149" activePane="bottomRight" state="frozen"/>
      <selection pane="topRight" activeCell="C1" sqref="C1"/>
      <selection pane="bottomLeft" activeCell="A11" sqref="A11"/>
      <selection pane="bottomRight" activeCell="M154" sqref="M154"/>
    </sheetView>
  </sheetViews>
  <sheetFormatPr defaultRowHeight="15" x14ac:dyDescent="0.25"/>
  <cols>
    <col min="1" max="1" width="12.5703125" customWidth="1"/>
    <col min="2" max="2" width="9.140625" hidden="1" customWidth="1"/>
    <col min="3" max="9" width="17.5703125" customWidth="1"/>
    <col min="10" max="10" width="22.85546875" customWidth="1"/>
  </cols>
  <sheetData>
    <row r="1" spans="1:78" ht="30" customHeight="1" x14ac:dyDescent="0.25">
      <c r="B1" s="9"/>
      <c r="C1" s="9"/>
      <c r="D1" s="9"/>
      <c r="E1" s="9"/>
      <c r="F1" s="9"/>
      <c r="G1" s="9"/>
      <c r="H1" s="9"/>
      <c r="I1" s="29" t="b">
        <v>0</v>
      </c>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row>
    <row r="2" spans="1:78" x14ac:dyDescent="0.25">
      <c r="I2" s="30" t="s">
        <v>73</v>
      </c>
    </row>
    <row r="3" spans="1:78" ht="18.75" x14ac:dyDescent="0.3">
      <c r="C3" t="s">
        <v>106</v>
      </c>
      <c r="D3" s="57" t="str">
        <f>IF(+wSettings!B10 = "", "No habilitado", +wSettings!B10)</f>
        <v>No habilitado</v>
      </c>
      <c r="F3" s="177" t="s">
        <v>171</v>
      </c>
      <c r="G3" s="177"/>
      <c r="H3" s="177"/>
    </row>
    <row r="4" spans="1:78" x14ac:dyDescent="0.25">
      <c r="F4" s="177"/>
      <c r="G4" s="177"/>
      <c r="H4" s="177"/>
    </row>
    <row r="5" spans="1:78" x14ac:dyDescent="0.25">
      <c r="C5" s="25" t="s">
        <v>103</v>
      </c>
      <c r="D5" s="24">
        <v>0.39583333333333331</v>
      </c>
      <c r="F5" s="177"/>
      <c r="G5" s="177"/>
      <c r="H5" s="177"/>
    </row>
    <row r="6" spans="1:78" x14ac:dyDescent="0.25">
      <c r="C6" s="25" t="s">
        <v>104</v>
      </c>
      <c r="D6" s="24">
        <v>0.64236111111111105</v>
      </c>
      <c r="F6" s="177"/>
      <c r="G6" s="177"/>
      <c r="H6" s="177"/>
    </row>
    <row r="7" spans="1:78" ht="22.9" customHeight="1" x14ac:dyDescent="0.25">
      <c r="C7" s="26" t="s">
        <v>105</v>
      </c>
      <c r="D7" s="28" t="s">
        <v>74</v>
      </c>
      <c r="F7" s="177"/>
      <c r="G7" s="177"/>
      <c r="H7" s="177"/>
    </row>
    <row r="8" spans="1:78" x14ac:dyDescent="0.25">
      <c r="F8" s="177"/>
      <c r="G8" s="177"/>
      <c r="H8" s="177"/>
    </row>
    <row r="10" spans="1:78" x14ac:dyDescent="0.25">
      <c r="A10" s="12" t="s">
        <v>67</v>
      </c>
      <c r="B10" s="13" t="s">
        <v>67</v>
      </c>
      <c r="C10" s="27" t="s">
        <v>68</v>
      </c>
      <c r="D10" s="27" t="s">
        <v>69</v>
      </c>
      <c r="E10" s="27" t="s">
        <v>95</v>
      </c>
      <c r="F10" s="27" t="s">
        <v>70</v>
      </c>
      <c r="G10" s="27" t="s">
        <v>71</v>
      </c>
      <c r="H10" s="27" t="s">
        <v>96</v>
      </c>
      <c r="I10" s="27" t="s">
        <v>97</v>
      </c>
    </row>
    <row r="11" spans="1:78" hidden="1" x14ac:dyDescent="0.25">
      <c r="A11" s="15">
        <f t="shared" ref="A11:A75" si="0">TIME(,B11,)</f>
        <v>0</v>
      </c>
      <c r="B11" s="14">
        <v>0</v>
      </c>
      <c r="C11" s="52"/>
      <c r="D11" s="53"/>
      <c r="E11" s="53"/>
      <c r="F11" s="53"/>
      <c r="G11" s="53"/>
      <c r="H11" s="53"/>
      <c r="I11" s="53"/>
    </row>
    <row r="12" spans="1:78" hidden="1" x14ac:dyDescent="0.25">
      <c r="A12" s="15">
        <f t="shared" si="0"/>
        <v>3.472222222222222E-3</v>
      </c>
      <c r="B12" s="16">
        <v>5</v>
      </c>
      <c r="C12" s="52"/>
      <c r="D12" s="54"/>
      <c r="E12" s="53"/>
      <c r="F12" s="52"/>
      <c r="G12" s="53"/>
      <c r="H12" s="53"/>
      <c r="I12" s="53"/>
    </row>
    <row r="13" spans="1:78" hidden="1" x14ac:dyDescent="0.25">
      <c r="A13" s="15">
        <f t="shared" si="0"/>
        <v>6.9444444444444441E-3</v>
      </c>
      <c r="B13" s="16">
        <v>10</v>
      </c>
      <c r="C13" s="52"/>
      <c r="D13" s="54"/>
      <c r="E13" s="53"/>
      <c r="F13" s="52"/>
      <c r="G13" s="53"/>
      <c r="H13" s="53"/>
      <c r="I13" s="53"/>
    </row>
    <row r="14" spans="1:78" hidden="1" x14ac:dyDescent="0.25">
      <c r="A14" s="15">
        <f t="shared" si="0"/>
        <v>1.0416666666666666E-2</v>
      </c>
      <c r="B14" s="16">
        <v>15</v>
      </c>
      <c r="C14" s="55"/>
      <c r="D14" s="53"/>
      <c r="E14" s="52"/>
      <c r="F14" s="53"/>
      <c r="G14" s="53"/>
      <c r="H14" s="53"/>
      <c r="I14" s="53"/>
    </row>
    <row r="15" spans="1:78" hidden="1" x14ac:dyDescent="0.25">
      <c r="A15" s="15">
        <f t="shared" si="0"/>
        <v>1.3888888888888888E-2</v>
      </c>
      <c r="B15" s="16">
        <v>20</v>
      </c>
      <c r="C15" s="55"/>
      <c r="D15" s="53"/>
      <c r="E15" s="52"/>
      <c r="F15" s="53"/>
      <c r="G15" s="53"/>
      <c r="H15" s="53"/>
      <c r="I15" s="53"/>
    </row>
    <row r="16" spans="1:78" hidden="1" x14ac:dyDescent="0.25">
      <c r="A16" s="15">
        <f t="shared" si="0"/>
        <v>1.7361111111111112E-2</v>
      </c>
      <c r="B16" s="16">
        <v>25</v>
      </c>
      <c r="C16" s="55"/>
      <c r="D16" s="53"/>
      <c r="E16" s="52"/>
      <c r="F16" s="53"/>
      <c r="G16" s="53"/>
      <c r="H16" s="53"/>
      <c r="I16" s="53"/>
    </row>
    <row r="17" spans="1:9" hidden="1" x14ac:dyDescent="0.25">
      <c r="A17" s="15">
        <f t="shared" si="0"/>
        <v>2.0833333333333332E-2</v>
      </c>
      <c r="B17" s="16">
        <v>30</v>
      </c>
      <c r="C17" s="55"/>
      <c r="D17" s="53"/>
      <c r="E17" s="52"/>
      <c r="F17" s="53"/>
      <c r="G17" s="53"/>
      <c r="H17" s="53"/>
      <c r="I17" s="53"/>
    </row>
    <row r="18" spans="1:9" hidden="1" x14ac:dyDescent="0.25">
      <c r="A18" s="15">
        <f t="shared" si="0"/>
        <v>2.4305555555555556E-2</v>
      </c>
      <c r="B18" s="16">
        <v>35</v>
      </c>
      <c r="C18" s="55"/>
      <c r="D18" s="53"/>
      <c r="E18" s="52"/>
      <c r="F18" s="53"/>
      <c r="G18" s="53"/>
      <c r="H18" s="53"/>
      <c r="I18" s="53"/>
    </row>
    <row r="19" spans="1:9" hidden="1" x14ac:dyDescent="0.25">
      <c r="A19" s="15">
        <f t="shared" si="0"/>
        <v>2.7777777777777776E-2</v>
      </c>
      <c r="B19" s="16">
        <v>40</v>
      </c>
      <c r="C19" s="55"/>
      <c r="D19" s="53"/>
      <c r="E19" s="52"/>
      <c r="F19" s="53"/>
      <c r="G19" s="53"/>
      <c r="H19" s="53"/>
      <c r="I19" s="53"/>
    </row>
    <row r="20" spans="1:9" hidden="1" x14ac:dyDescent="0.25">
      <c r="A20" s="15">
        <f t="shared" si="0"/>
        <v>3.125E-2</v>
      </c>
      <c r="B20" s="16">
        <v>45</v>
      </c>
      <c r="C20" s="55"/>
      <c r="D20" s="53"/>
      <c r="E20" s="52"/>
      <c r="F20" s="53"/>
      <c r="G20" s="53"/>
      <c r="H20" s="53"/>
      <c r="I20" s="53"/>
    </row>
    <row r="21" spans="1:9" hidden="1" x14ac:dyDescent="0.25">
      <c r="A21" s="15">
        <f t="shared" si="0"/>
        <v>3.4722222222222224E-2</v>
      </c>
      <c r="B21" s="16">
        <v>50</v>
      </c>
      <c r="C21" s="55"/>
      <c r="D21" s="53"/>
      <c r="E21" s="52"/>
      <c r="F21" s="53"/>
      <c r="G21" s="53"/>
      <c r="H21" s="53"/>
      <c r="I21" s="53"/>
    </row>
    <row r="22" spans="1:9" hidden="1" x14ac:dyDescent="0.25">
      <c r="A22" s="15">
        <f t="shared" si="0"/>
        <v>3.8194444444444441E-2</v>
      </c>
      <c r="B22" s="16">
        <v>55</v>
      </c>
      <c r="C22" s="55"/>
      <c r="D22" s="53"/>
      <c r="E22" s="52"/>
      <c r="F22" s="53"/>
      <c r="G22" s="53"/>
      <c r="H22" s="53"/>
      <c r="I22" s="53"/>
    </row>
    <row r="23" spans="1:9" hidden="1" x14ac:dyDescent="0.25">
      <c r="A23" s="15">
        <f t="shared" si="0"/>
        <v>4.1666666666666664E-2</v>
      </c>
      <c r="B23" s="16">
        <v>60</v>
      </c>
      <c r="C23" s="55"/>
      <c r="D23" s="53"/>
      <c r="E23" s="52"/>
      <c r="F23" s="53"/>
      <c r="G23" s="53"/>
      <c r="H23" s="53"/>
      <c r="I23" s="53"/>
    </row>
    <row r="24" spans="1:9" hidden="1" x14ac:dyDescent="0.25">
      <c r="A24" s="15">
        <f t="shared" si="0"/>
        <v>4.5138888888888888E-2</v>
      </c>
      <c r="B24" s="16">
        <v>65</v>
      </c>
      <c r="C24" s="55"/>
      <c r="D24" s="53"/>
      <c r="E24" s="52"/>
      <c r="F24" s="53"/>
      <c r="G24" s="53"/>
      <c r="H24" s="53"/>
      <c r="I24" s="53"/>
    </row>
    <row r="25" spans="1:9" hidden="1" x14ac:dyDescent="0.25">
      <c r="A25" s="15">
        <f t="shared" si="0"/>
        <v>4.8611111111111112E-2</v>
      </c>
      <c r="B25" s="16">
        <v>70</v>
      </c>
      <c r="C25" s="55"/>
      <c r="D25" s="53"/>
      <c r="E25" s="52"/>
      <c r="F25" s="53"/>
      <c r="G25" s="53"/>
      <c r="H25" s="53"/>
      <c r="I25" s="53"/>
    </row>
    <row r="26" spans="1:9" hidden="1" x14ac:dyDescent="0.25">
      <c r="A26" s="15">
        <f t="shared" si="0"/>
        <v>5.2083333333333336E-2</v>
      </c>
      <c r="B26" s="16">
        <v>75</v>
      </c>
      <c r="C26" s="55"/>
      <c r="D26" s="53"/>
      <c r="E26" s="52"/>
      <c r="F26" s="53"/>
      <c r="G26" s="53"/>
      <c r="H26" s="53"/>
      <c r="I26" s="53"/>
    </row>
    <row r="27" spans="1:9" hidden="1" x14ac:dyDescent="0.25">
      <c r="A27" s="15">
        <f t="shared" si="0"/>
        <v>5.5555555555555552E-2</v>
      </c>
      <c r="B27" s="16">
        <v>80</v>
      </c>
      <c r="C27" s="55"/>
      <c r="D27" s="53"/>
      <c r="E27" s="52"/>
      <c r="F27" s="53"/>
      <c r="G27" s="53"/>
      <c r="H27" s="53"/>
      <c r="I27" s="53"/>
    </row>
    <row r="28" spans="1:9" hidden="1" x14ac:dyDescent="0.25">
      <c r="A28" s="15">
        <f t="shared" si="0"/>
        <v>5.9027777777777783E-2</v>
      </c>
      <c r="B28" s="16">
        <v>85</v>
      </c>
      <c r="C28" s="55"/>
      <c r="D28" s="53"/>
      <c r="E28" s="52"/>
      <c r="F28" s="53"/>
      <c r="G28" s="53"/>
      <c r="H28" s="53"/>
      <c r="I28" s="53"/>
    </row>
    <row r="29" spans="1:9" hidden="1" x14ac:dyDescent="0.25">
      <c r="A29" s="15">
        <f t="shared" si="0"/>
        <v>6.25E-2</v>
      </c>
      <c r="B29" s="16">
        <v>90</v>
      </c>
      <c r="C29" s="52"/>
      <c r="D29" s="53"/>
      <c r="E29" s="53"/>
      <c r="F29" s="53"/>
      <c r="G29" s="53"/>
      <c r="H29" s="53"/>
      <c r="I29" s="53"/>
    </row>
    <row r="30" spans="1:9" hidden="1" x14ac:dyDescent="0.25">
      <c r="A30" s="15">
        <f t="shared" si="0"/>
        <v>6.5972222222222224E-2</v>
      </c>
      <c r="B30" s="16">
        <v>95</v>
      </c>
      <c r="C30" s="52"/>
      <c r="D30" s="53"/>
      <c r="E30" s="53"/>
      <c r="F30" s="53"/>
      <c r="G30" s="53"/>
      <c r="H30" s="53"/>
      <c r="I30" s="53"/>
    </row>
    <row r="31" spans="1:9" hidden="1" x14ac:dyDescent="0.25">
      <c r="A31" s="15">
        <f t="shared" si="0"/>
        <v>6.9444444444444448E-2</v>
      </c>
      <c r="B31" s="16">
        <v>100</v>
      </c>
      <c r="C31" s="52"/>
      <c r="D31" s="53"/>
      <c r="E31" s="53"/>
      <c r="F31" s="53"/>
      <c r="G31" s="53"/>
      <c r="H31" s="53"/>
      <c r="I31" s="53"/>
    </row>
    <row r="32" spans="1:9" hidden="1" x14ac:dyDescent="0.25">
      <c r="A32" s="15">
        <f t="shared" si="0"/>
        <v>7.2916666666666671E-2</v>
      </c>
      <c r="B32" s="16">
        <v>105</v>
      </c>
      <c r="C32" s="52"/>
      <c r="D32" s="53"/>
      <c r="E32" s="53"/>
      <c r="F32" s="53"/>
      <c r="G32" s="53"/>
      <c r="H32" s="53"/>
      <c r="I32" s="53"/>
    </row>
    <row r="33" spans="1:9" hidden="1" x14ac:dyDescent="0.25">
      <c r="A33" s="15">
        <f t="shared" si="0"/>
        <v>7.6388888888888881E-2</v>
      </c>
      <c r="B33" s="16">
        <v>110</v>
      </c>
      <c r="C33" s="52"/>
      <c r="D33" s="53"/>
      <c r="E33" s="53"/>
      <c r="F33" s="53"/>
      <c r="G33" s="53"/>
      <c r="H33" s="53"/>
      <c r="I33" s="53"/>
    </row>
    <row r="34" spans="1:9" hidden="1" x14ac:dyDescent="0.25">
      <c r="A34" s="15">
        <f t="shared" si="0"/>
        <v>7.9861111111111119E-2</v>
      </c>
      <c r="B34" s="16">
        <v>115</v>
      </c>
      <c r="C34" s="52"/>
      <c r="D34" s="53"/>
      <c r="E34" s="53"/>
      <c r="F34" s="53"/>
      <c r="G34" s="53"/>
      <c r="H34" s="53"/>
      <c r="I34" s="53"/>
    </row>
    <row r="35" spans="1:9" hidden="1" x14ac:dyDescent="0.25">
      <c r="A35" s="15">
        <f t="shared" si="0"/>
        <v>8.3333333333333329E-2</v>
      </c>
      <c r="B35" s="16">
        <v>120</v>
      </c>
      <c r="C35" s="52"/>
      <c r="D35" s="53"/>
      <c r="E35" s="53"/>
      <c r="F35" s="53"/>
      <c r="G35" s="53"/>
      <c r="H35" s="53"/>
      <c r="I35" s="53"/>
    </row>
    <row r="36" spans="1:9" hidden="1" x14ac:dyDescent="0.25">
      <c r="A36" s="15">
        <f t="shared" si="0"/>
        <v>8.6805555555555566E-2</v>
      </c>
      <c r="B36" s="16">
        <v>125</v>
      </c>
      <c r="C36" s="52"/>
      <c r="D36" s="53"/>
      <c r="E36" s="53"/>
      <c r="F36" s="53"/>
      <c r="G36" s="53"/>
      <c r="H36" s="53"/>
      <c r="I36" s="53"/>
    </row>
    <row r="37" spans="1:9" hidden="1" x14ac:dyDescent="0.25">
      <c r="A37" s="15">
        <f t="shared" si="0"/>
        <v>9.0277777777777776E-2</v>
      </c>
      <c r="B37" s="16">
        <v>130</v>
      </c>
      <c r="C37" s="52"/>
      <c r="D37" s="53"/>
      <c r="E37" s="53"/>
      <c r="F37" s="53"/>
      <c r="G37" s="53"/>
      <c r="H37" s="53"/>
      <c r="I37" s="53"/>
    </row>
    <row r="38" spans="1:9" hidden="1" x14ac:dyDescent="0.25">
      <c r="A38" s="15">
        <f t="shared" si="0"/>
        <v>9.375E-2</v>
      </c>
      <c r="B38" s="16">
        <v>135</v>
      </c>
      <c r="C38" s="52"/>
      <c r="D38" s="53"/>
      <c r="E38" s="53"/>
      <c r="F38" s="53"/>
      <c r="G38" s="53"/>
      <c r="H38" s="53"/>
      <c r="I38" s="53"/>
    </row>
    <row r="39" spans="1:9" hidden="1" x14ac:dyDescent="0.25">
      <c r="A39" s="15">
        <f t="shared" si="0"/>
        <v>9.7222222222222224E-2</v>
      </c>
      <c r="B39" s="16">
        <v>140</v>
      </c>
      <c r="C39" s="52"/>
      <c r="D39" s="53"/>
      <c r="E39" s="53"/>
      <c r="F39" s="53"/>
      <c r="G39" s="53"/>
      <c r="H39" s="53"/>
      <c r="I39" s="53"/>
    </row>
    <row r="40" spans="1:9" hidden="1" x14ac:dyDescent="0.25">
      <c r="A40" s="15">
        <f t="shared" si="0"/>
        <v>0.10069444444444443</v>
      </c>
      <c r="B40" s="16">
        <v>145</v>
      </c>
      <c r="C40" s="52"/>
      <c r="D40" s="53"/>
      <c r="E40" s="53"/>
      <c r="F40" s="53"/>
      <c r="G40" s="53"/>
      <c r="H40" s="53"/>
      <c r="I40" s="53"/>
    </row>
    <row r="41" spans="1:9" hidden="1" x14ac:dyDescent="0.25">
      <c r="A41" s="15">
        <f t="shared" si="0"/>
        <v>0.10416666666666667</v>
      </c>
      <c r="B41" s="16">
        <v>150</v>
      </c>
      <c r="C41" s="52"/>
      <c r="D41" s="53"/>
      <c r="E41" s="53"/>
      <c r="F41" s="53"/>
      <c r="G41" s="53"/>
      <c r="H41" s="53"/>
      <c r="I41" s="53"/>
    </row>
    <row r="42" spans="1:9" hidden="1" x14ac:dyDescent="0.25">
      <c r="A42" s="15">
        <f t="shared" si="0"/>
        <v>0.1076388888888889</v>
      </c>
      <c r="B42" s="16">
        <v>155</v>
      </c>
      <c r="C42" s="52"/>
      <c r="D42" s="53"/>
      <c r="E42" s="53"/>
      <c r="F42" s="53"/>
      <c r="G42" s="53"/>
      <c r="H42" s="53"/>
      <c r="I42" s="53"/>
    </row>
    <row r="43" spans="1:9" hidden="1" x14ac:dyDescent="0.25">
      <c r="A43" s="15">
        <f t="shared" si="0"/>
        <v>0.1111111111111111</v>
      </c>
      <c r="B43" s="16">
        <v>160</v>
      </c>
      <c r="C43" s="52"/>
      <c r="D43" s="53"/>
      <c r="E43" s="53"/>
      <c r="F43" s="53"/>
      <c r="G43" s="53"/>
      <c r="H43" s="53"/>
      <c r="I43" s="53"/>
    </row>
    <row r="44" spans="1:9" hidden="1" x14ac:dyDescent="0.25">
      <c r="A44" s="15">
        <f t="shared" si="0"/>
        <v>0.11458333333333333</v>
      </c>
      <c r="B44" s="16">
        <v>165</v>
      </c>
      <c r="C44" s="52"/>
      <c r="D44" s="53"/>
      <c r="E44" s="53"/>
      <c r="F44" s="53"/>
      <c r="G44" s="53"/>
      <c r="H44" s="53"/>
      <c r="I44" s="53"/>
    </row>
    <row r="45" spans="1:9" hidden="1" x14ac:dyDescent="0.25">
      <c r="A45" s="15">
        <f t="shared" si="0"/>
        <v>0.11805555555555557</v>
      </c>
      <c r="B45" s="16">
        <v>170</v>
      </c>
      <c r="C45" s="52"/>
      <c r="D45" s="53"/>
      <c r="E45" s="53"/>
      <c r="F45" s="53"/>
      <c r="G45" s="53"/>
      <c r="H45" s="53"/>
      <c r="I45" s="53"/>
    </row>
    <row r="46" spans="1:9" hidden="1" x14ac:dyDescent="0.25">
      <c r="A46" s="15">
        <f t="shared" si="0"/>
        <v>0.12152777777777778</v>
      </c>
      <c r="B46" s="16">
        <v>175</v>
      </c>
      <c r="C46" s="52"/>
      <c r="D46" s="53"/>
      <c r="E46" s="53"/>
      <c r="F46" s="53"/>
      <c r="G46" s="53"/>
      <c r="H46" s="53"/>
      <c r="I46" s="53"/>
    </row>
    <row r="47" spans="1:9" hidden="1" x14ac:dyDescent="0.25">
      <c r="A47" s="15">
        <f t="shared" si="0"/>
        <v>0.125</v>
      </c>
      <c r="B47" s="16">
        <v>180</v>
      </c>
      <c r="C47" s="52"/>
      <c r="D47" s="53"/>
      <c r="E47" s="53"/>
      <c r="F47" s="53"/>
      <c r="G47" s="53"/>
      <c r="H47" s="53"/>
      <c r="I47" s="53"/>
    </row>
    <row r="48" spans="1:9" hidden="1" x14ac:dyDescent="0.25">
      <c r="A48" s="15">
        <f t="shared" si="0"/>
        <v>0.12847222222222224</v>
      </c>
      <c r="B48" s="16">
        <v>185</v>
      </c>
      <c r="C48" s="52"/>
      <c r="D48" s="53"/>
      <c r="E48" s="53"/>
      <c r="F48" s="53"/>
      <c r="G48" s="53"/>
      <c r="H48" s="53"/>
      <c r="I48" s="53"/>
    </row>
    <row r="49" spans="1:9" hidden="1" x14ac:dyDescent="0.25">
      <c r="A49" s="15">
        <f t="shared" si="0"/>
        <v>0.13194444444444445</v>
      </c>
      <c r="B49" s="16">
        <v>190</v>
      </c>
      <c r="C49" s="52"/>
      <c r="D49" s="53"/>
      <c r="E49" s="53"/>
      <c r="F49" s="53"/>
      <c r="G49" s="53"/>
      <c r="H49" s="53"/>
      <c r="I49" s="53"/>
    </row>
    <row r="50" spans="1:9" hidden="1" x14ac:dyDescent="0.25">
      <c r="A50" s="15">
        <f t="shared" si="0"/>
        <v>0.13541666666666666</v>
      </c>
      <c r="B50" s="16">
        <v>195</v>
      </c>
      <c r="C50" s="52"/>
      <c r="D50" s="53"/>
      <c r="E50" s="53"/>
      <c r="F50" s="53"/>
      <c r="G50" s="53"/>
      <c r="H50" s="53"/>
      <c r="I50" s="53"/>
    </row>
    <row r="51" spans="1:9" hidden="1" x14ac:dyDescent="0.25">
      <c r="A51" s="15">
        <f t="shared" si="0"/>
        <v>0.1388888888888889</v>
      </c>
      <c r="B51" s="16">
        <v>200</v>
      </c>
      <c r="C51" s="52"/>
      <c r="D51" s="53"/>
      <c r="E51" s="53"/>
      <c r="F51" s="53"/>
      <c r="G51" s="53"/>
      <c r="H51" s="53"/>
      <c r="I51" s="53"/>
    </row>
    <row r="52" spans="1:9" hidden="1" x14ac:dyDescent="0.25">
      <c r="A52" s="15">
        <f t="shared" si="0"/>
        <v>0.1423611111111111</v>
      </c>
      <c r="B52" s="16">
        <v>205</v>
      </c>
      <c r="C52" s="52"/>
      <c r="D52" s="53"/>
      <c r="E52" s="53"/>
      <c r="F52" s="53"/>
      <c r="G52" s="53"/>
      <c r="H52" s="53"/>
      <c r="I52" s="53"/>
    </row>
    <row r="53" spans="1:9" hidden="1" x14ac:dyDescent="0.25">
      <c r="A53" s="15">
        <f t="shared" si="0"/>
        <v>0.14583333333333334</v>
      </c>
      <c r="B53" s="16">
        <v>210</v>
      </c>
      <c r="C53" s="52"/>
      <c r="D53" s="53"/>
      <c r="E53" s="53"/>
      <c r="F53" s="53"/>
      <c r="G53" s="53"/>
      <c r="H53" s="53"/>
      <c r="I53" s="53"/>
    </row>
    <row r="54" spans="1:9" hidden="1" x14ac:dyDescent="0.25">
      <c r="A54" s="15">
        <f t="shared" si="0"/>
        <v>0.14930555555555555</v>
      </c>
      <c r="B54" s="16">
        <v>215</v>
      </c>
      <c r="C54" s="52"/>
      <c r="D54" s="53"/>
      <c r="E54" s="53"/>
      <c r="F54" s="53"/>
      <c r="G54" s="53"/>
      <c r="H54" s="53"/>
      <c r="I54" s="53"/>
    </row>
    <row r="55" spans="1:9" hidden="1" x14ac:dyDescent="0.25">
      <c r="A55" s="15">
        <f t="shared" si="0"/>
        <v>0.15277777777777776</v>
      </c>
      <c r="B55" s="16">
        <v>220</v>
      </c>
      <c r="C55" s="52"/>
      <c r="D55" s="53"/>
      <c r="E55" s="53"/>
      <c r="F55" s="53"/>
      <c r="G55" s="53"/>
      <c r="H55" s="53"/>
      <c r="I55" s="53"/>
    </row>
    <row r="56" spans="1:9" hidden="1" x14ac:dyDescent="0.25">
      <c r="A56" s="15">
        <f t="shared" si="0"/>
        <v>0.15625</v>
      </c>
      <c r="B56" s="16">
        <v>225</v>
      </c>
      <c r="C56" s="52"/>
      <c r="D56" s="53"/>
      <c r="E56" s="53"/>
      <c r="F56" s="53"/>
      <c r="G56" s="53"/>
      <c r="H56" s="53"/>
      <c r="I56" s="53"/>
    </row>
    <row r="57" spans="1:9" hidden="1" x14ac:dyDescent="0.25">
      <c r="A57" s="15">
        <f t="shared" si="0"/>
        <v>0.15972222222222224</v>
      </c>
      <c r="B57" s="16">
        <v>230</v>
      </c>
      <c r="C57" s="52"/>
      <c r="D57" s="53"/>
      <c r="E57" s="53"/>
      <c r="F57" s="53"/>
      <c r="G57" s="53"/>
      <c r="H57" s="53"/>
      <c r="I57" s="53"/>
    </row>
    <row r="58" spans="1:9" hidden="1" x14ac:dyDescent="0.25">
      <c r="A58" s="15">
        <f t="shared" si="0"/>
        <v>0.16319444444444445</v>
      </c>
      <c r="B58" s="16">
        <v>235</v>
      </c>
      <c r="C58" s="52"/>
      <c r="D58" s="53"/>
      <c r="E58" s="53"/>
      <c r="F58" s="53"/>
      <c r="G58" s="53"/>
      <c r="H58" s="53"/>
      <c r="I58" s="53"/>
    </row>
    <row r="59" spans="1:9" hidden="1" x14ac:dyDescent="0.25">
      <c r="A59" s="15">
        <f t="shared" si="0"/>
        <v>0.16666666666666666</v>
      </c>
      <c r="B59" s="16">
        <v>240</v>
      </c>
      <c r="C59" s="52"/>
      <c r="D59" s="53"/>
      <c r="E59" s="53"/>
      <c r="F59" s="53"/>
      <c r="G59" s="53"/>
      <c r="H59" s="53"/>
      <c r="I59" s="53"/>
    </row>
    <row r="60" spans="1:9" hidden="1" x14ac:dyDescent="0.25">
      <c r="A60" s="15">
        <f t="shared" si="0"/>
        <v>0.17013888888888887</v>
      </c>
      <c r="B60" s="16">
        <v>245</v>
      </c>
      <c r="C60" s="52"/>
      <c r="D60" s="53"/>
      <c r="E60" s="53"/>
      <c r="F60" s="53"/>
      <c r="G60" s="53"/>
      <c r="H60" s="53"/>
      <c r="I60" s="53"/>
    </row>
    <row r="61" spans="1:9" hidden="1" x14ac:dyDescent="0.25">
      <c r="A61" s="15">
        <f t="shared" si="0"/>
        <v>0.17361111111111113</v>
      </c>
      <c r="B61" s="16">
        <v>250</v>
      </c>
      <c r="C61" s="52"/>
      <c r="D61" s="53"/>
      <c r="E61" s="53"/>
      <c r="F61" s="53"/>
      <c r="G61" s="53"/>
      <c r="H61" s="53"/>
      <c r="I61" s="53"/>
    </row>
    <row r="62" spans="1:9" hidden="1" x14ac:dyDescent="0.25">
      <c r="A62" s="15">
        <f t="shared" si="0"/>
        <v>0.17708333333333334</v>
      </c>
      <c r="B62" s="16">
        <v>255</v>
      </c>
      <c r="C62" s="52"/>
      <c r="D62" s="53"/>
      <c r="E62" s="53"/>
      <c r="F62" s="53"/>
      <c r="G62" s="53"/>
      <c r="H62" s="53"/>
      <c r="I62" s="53"/>
    </row>
    <row r="63" spans="1:9" hidden="1" x14ac:dyDescent="0.25">
      <c r="A63" s="15">
        <f t="shared" si="0"/>
        <v>0.18055555555555555</v>
      </c>
      <c r="B63" s="16">
        <v>260</v>
      </c>
      <c r="C63" s="52"/>
      <c r="D63" s="53"/>
      <c r="E63" s="53"/>
      <c r="F63" s="53"/>
      <c r="G63" s="53"/>
      <c r="H63" s="53"/>
      <c r="I63" s="53"/>
    </row>
    <row r="64" spans="1:9" hidden="1" x14ac:dyDescent="0.25">
      <c r="A64" s="15">
        <f t="shared" si="0"/>
        <v>0.18402777777777779</v>
      </c>
      <c r="B64" s="16">
        <v>265</v>
      </c>
      <c r="C64" s="52"/>
      <c r="D64" s="53"/>
      <c r="E64" s="53"/>
      <c r="F64" s="53"/>
      <c r="G64" s="53"/>
      <c r="H64" s="53"/>
      <c r="I64" s="53"/>
    </row>
    <row r="65" spans="1:9" hidden="1" x14ac:dyDescent="0.25">
      <c r="A65" s="15">
        <f t="shared" si="0"/>
        <v>0.1875</v>
      </c>
      <c r="B65" s="16">
        <v>270</v>
      </c>
      <c r="C65" s="52"/>
      <c r="D65" s="53"/>
      <c r="E65" s="53"/>
      <c r="F65" s="53"/>
      <c r="G65" s="53"/>
      <c r="H65" s="53"/>
      <c r="I65" s="53"/>
    </row>
    <row r="66" spans="1:9" hidden="1" x14ac:dyDescent="0.25">
      <c r="A66" s="15">
        <f t="shared" si="0"/>
        <v>0.19097222222222221</v>
      </c>
      <c r="B66" s="16">
        <v>275</v>
      </c>
      <c r="C66" s="52"/>
      <c r="D66" s="53"/>
      <c r="E66" s="53"/>
      <c r="F66" s="53"/>
      <c r="G66" s="53"/>
      <c r="H66" s="53"/>
      <c r="I66" s="53"/>
    </row>
    <row r="67" spans="1:9" hidden="1" x14ac:dyDescent="0.25">
      <c r="A67" s="15">
        <f t="shared" si="0"/>
        <v>0.19444444444444445</v>
      </c>
      <c r="B67" s="17">
        <v>280</v>
      </c>
      <c r="C67" s="68"/>
      <c r="D67" s="53"/>
      <c r="E67" s="53"/>
      <c r="F67" s="53"/>
      <c r="G67" s="53"/>
      <c r="H67" s="53"/>
      <c r="I67" s="53"/>
    </row>
    <row r="68" spans="1:9" hidden="1" x14ac:dyDescent="0.25">
      <c r="A68" s="15">
        <f t="shared" si="0"/>
        <v>0.19791666666666666</v>
      </c>
      <c r="B68" s="17">
        <v>285</v>
      </c>
      <c r="C68" s="68"/>
      <c r="D68" s="53"/>
      <c r="E68" s="53"/>
      <c r="F68" s="53"/>
      <c r="G68" s="53"/>
      <c r="H68" s="53"/>
      <c r="I68" s="53"/>
    </row>
    <row r="69" spans="1:9" hidden="1" x14ac:dyDescent="0.25">
      <c r="A69" s="15">
        <f t="shared" si="0"/>
        <v>0.20138888888888887</v>
      </c>
      <c r="B69" s="17">
        <v>290</v>
      </c>
      <c r="C69" s="68"/>
      <c r="D69" s="53"/>
      <c r="E69" s="53"/>
      <c r="F69" s="53"/>
      <c r="G69" s="53"/>
      <c r="H69" s="53"/>
      <c r="I69" s="53"/>
    </row>
    <row r="70" spans="1:9" hidden="1" x14ac:dyDescent="0.25">
      <c r="A70" s="15">
        <f t="shared" si="0"/>
        <v>0.20486111111111113</v>
      </c>
      <c r="B70" s="17">
        <v>295</v>
      </c>
      <c r="C70" s="68"/>
      <c r="D70" s="53"/>
      <c r="E70" s="53"/>
      <c r="F70" s="53"/>
      <c r="G70" s="53"/>
      <c r="H70" s="53"/>
      <c r="I70" s="53"/>
    </row>
    <row r="71" spans="1:9" hidden="1" x14ac:dyDescent="0.25">
      <c r="A71" s="15">
        <f t="shared" si="0"/>
        <v>0.20833333333333334</v>
      </c>
      <c r="B71" s="17">
        <v>300</v>
      </c>
      <c r="C71" s="68"/>
      <c r="D71" s="53"/>
      <c r="E71" s="53"/>
      <c r="F71" s="53"/>
      <c r="G71" s="53"/>
      <c r="H71" s="53"/>
      <c r="I71" s="53"/>
    </row>
    <row r="72" spans="1:9" hidden="1" x14ac:dyDescent="0.25">
      <c r="A72" s="15">
        <f t="shared" si="0"/>
        <v>0.21180555555555555</v>
      </c>
      <c r="B72" s="17">
        <v>305</v>
      </c>
      <c r="C72" s="68"/>
      <c r="D72" s="53"/>
      <c r="E72" s="53"/>
      <c r="F72" s="53"/>
      <c r="G72" s="53"/>
      <c r="H72" s="53"/>
      <c r="I72" s="53"/>
    </row>
    <row r="73" spans="1:9" hidden="1" x14ac:dyDescent="0.25">
      <c r="A73" s="15">
        <f t="shared" si="0"/>
        <v>0.21527777777777779</v>
      </c>
      <c r="B73" s="17">
        <v>310</v>
      </c>
      <c r="C73" s="68"/>
      <c r="D73" s="53"/>
      <c r="E73" s="53"/>
      <c r="F73" s="53"/>
      <c r="G73" s="53"/>
      <c r="H73" s="53"/>
      <c r="I73" s="53"/>
    </row>
    <row r="74" spans="1:9" hidden="1" x14ac:dyDescent="0.25">
      <c r="A74" s="15">
        <f t="shared" si="0"/>
        <v>0.21875</v>
      </c>
      <c r="B74" s="17">
        <v>315</v>
      </c>
      <c r="C74" s="68"/>
      <c r="D74" s="53"/>
      <c r="E74" s="53"/>
      <c r="F74" s="53"/>
      <c r="G74" s="53"/>
      <c r="H74" s="53"/>
      <c r="I74" s="53"/>
    </row>
    <row r="75" spans="1:9" hidden="1" x14ac:dyDescent="0.25">
      <c r="A75" s="15">
        <f t="shared" si="0"/>
        <v>0.22222222222222221</v>
      </c>
      <c r="B75" s="17">
        <v>320</v>
      </c>
      <c r="C75" s="68"/>
      <c r="D75" s="53"/>
      <c r="E75" s="53"/>
      <c r="F75" s="53"/>
      <c r="G75" s="53"/>
      <c r="H75" s="53"/>
      <c r="I75" s="53"/>
    </row>
    <row r="76" spans="1:9" hidden="1" x14ac:dyDescent="0.25">
      <c r="A76" s="15">
        <f t="shared" ref="A76:A139" si="1">TIME(,B76,)</f>
        <v>0.22569444444444445</v>
      </c>
      <c r="B76" s="17">
        <v>325</v>
      </c>
      <c r="C76" s="68"/>
      <c r="D76" s="53"/>
      <c r="E76" s="53"/>
      <c r="F76" s="53"/>
      <c r="G76" s="53"/>
      <c r="H76" s="53"/>
      <c r="I76" s="53"/>
    </row>
    <row r="77" spans="1:9" hidden="1" x14ac:dyDescent="0.25">
      <c r="A77" s="15">
        <f t="shared" si="1"/>
        <v>0.22916666666666666</v>
      </c>
      <c r="B77" s="17">
        <v>330</v>
      </c>
      <c r="C77" s="68"/>
      <c r="D77" s="53"/>
      <c r="E77" s="53"/>
      <c r="F77" s="53"/>
      <c r="G77" s="53"/>
      <c r="H77" s="53"/>
      <c r="I77" s="53"/>
    </row>
    <row r="78" spans="1:9" hidden="1" x14ac:dyDescent="0.25">
      <c r="A78" s="15">
        <f t="shared" si="1"/>
        <v>0.23263888888888887</v>
      </c>
      <c r="B78" s="17">
        <v>335</v>
      </c>
      <c r="C78" s="68"/>
      <c r="D78" s="53"/>
      <c r="E78" s="53"/>
      <c r="F78" s="53"/>
      <c r="G78" s="53"/>
      <c r="H78" s="53"/>
      <c r="I78" s="53"/>
    </row>
    <row r="79" spans="1:9" hidden="1" x14ac:dyDescent="0.25">
      <c r="A79" s="15">
        <f t="shared" si="1"/>
        <v>0.23611111111111113</v>
      </c>
      <c r="B79" s="17">
        <v>340</v>
      </c>
      <c r="C79" s="17"/>
      <c r="D79" s="54"/>
      <c r="E79" s="54"/>
      <c r="F79" s="53"/>
      <c r="G79" s="52"/>
      <c r="H79" s="53"/>
      <c r="I79" s="53"/>
    </row>
    <row r="80" spans="1:9" hidden="1" x14ac:dyDescent="0.25">
      <c r="A80" s="15">
        <f t="shared" si="1"/>
        <v>0.23958333333333334</v>
      </c>
      <c r="B80" s="17">
        <v>345</v>
      </c>
      <c r="C80" s="68"/>
      <c r="D80" s="53"/>
      <c r="E80" s="53"/>
      <c r="F80" s="53"/>
      <c r="G80" s="53"/>
      <c r="H80" s="53"/>
      <c r="I80" s="53"/>
    </row>
    <row r="81" spans="1:9" hidden="1" x14ac:dyDescent="0.25">
      <c r="A81" s="15">
        <f t="shared" si="1"/>
        <v>0.24305555555555555</v>
      </c>
      <c r="B81" s="17">
        <v>350</v>
      </c>
      <c r="C81" s="68"/>
      <c r="D81" s="53"/>
      <c r="E81" s="53"/>
      <c r="F81" s="53"/>
      <c r="G81" s="53"/>
      <c r="H81" s="53"/>
      <c r="I81" s="53"/>
    </row>
    <row r="82" spans="1:9" hidden="1" x14ac:dyDescent="0.25">
      <c r="A82" s="15">
        <f t="shared" si="1"/>
        <v>0.24652777777777779</v>
      </c>
      <c r="B82" s="17">
        <v>355</v>
      </c>
      <c r="C82" s="68"/>
      <c r="D82" s="53"/>
      <c r="E82" s="53"/>
      <c r="F82" s="53"/>
      <c r="G82" s="53"/>
      <c r="H82" s="53"/>
      <c r="I82" s="53"/>
    </row>
    <row r="83" spans="1:9" hidden="1" x14ac:dyDescent="0.25">
      <c r="A83" s="15">
        <f t="shared" si="1"/>
        <v>0.25</v>
      </c>
      <c r="B83" s="17">
        <v>360</v>
      </c>
      <c r="C83" s="17"/>
      <c r="D83" s="54"/>
      <c r="E83" s="54"/>
      <c r="F83" s="54"/>
      <c r="G83" s="53"/>
      <c r="H83" s="52"/>
      <c r="I83" s="53"/>
    </row>
    <row r="84" spans="1:9" hidden="1" x14ac:dyDescent="0.25">
      <c r="A84" s="15">
        <f t="shared" si="1"/>
        <v>0.25347222222222221</v>
      </c>
      <c r="B84" s="17">
        <v>365</v>
      </c>
      <c r="C84" s="68"/>
      <c r="D84" s="53"/>
      <c r="E84" s="53"/>
      <c r="F84" s="53"/>
      <c r="G84" s="53"/>
      <c r="H84" s="53"/>
      <c r="I84" s="53"/>
    </row>
    <row r="85" spans="1:9" hidden="1" x14ac:dyDescent="0.25">
      <c r="A85" s="15">
        <f t="shared" si="1"/>
        <v>0.25694444444444448</v>
      </c>
      <c r="B85" s="17">
        <v>370</v>
      </c>
      <c r="C85" s="68"/>
      <c r="D85" s="53"/>
      <c r="E85" s="53"/>
      <c r="F85" s="53"/>
      <c r="G85" s="53"/>
      <c r="H85" s="53"/>
      <c r="I85" s="53"/>
    </row>
    <row r="86" spans="1:9" hidden="1" x14ac:dyDescent="0.25">
      <c r="A86" s="15">
        <f t="shared" si="1"/>
        <v>0.26041666666666669</v>
      </c>
      <c r="B86" s="17">
        <v>375</v>
      </c>
      <c r="C86" s="68"/>
      <c r="D86" s="53"/>
      <c r="E86" s="53"/>
      <c r="F86" s="53"/>
      <c r="G86" s="53"/>
      <c r="H86" s="53"/>
      <c r="I86" s="53"/>
    </row>
    <row r="87" spans="1:9" hidden="1" x14ac:dyDescent="0.25">
      <c r="A87" s="15">
        <f t="shared" si="1"/>
        <v>0.2638888888888889</v>
      </c>
      <c r="B87" s="17">
        <v>380</v>
      </c>
      <c r="C87" s="68"/>
      <c r="D87" s="53"/>
      <c r="E87" s="53"/>
      <c r="F87" s="53"/>
      <c r="G87" s="53"/>
      <c r="H87" s="53"/>
      <c r="I87" s="53"/>
    </row>
    <row r="88" spans="1:9" hidden="1" x14ac:dyDescent="0.25">
      <c r="A88" s="15">
        <f t="shared" si="1"/>
        <v>0.2673611111111111</v>
      </c>
      <c r="B88" s="17">
        <v>385</v>
      </c>
      <c r="C88" s="68"/>
      <c r="D88" s="53"/>
      <c r="E88" s="53"/>
      <c r="F88" s="53"/>
      <c r="G88" s="53"/>
      <c r="H88" s="53"/>
      <c r="I88" s="53"/>
    </row>
    <row r="89" spans="1:9" hidden="1" x14ac:dyDescent="0.25">
      <c r="A89" s="15">
        <f t="shared" si="1"/>
        <v>0.27083333333333331</v>
      </c>
      <c r="B89" s="17">
        <v>390</v>
      </c>
      <c r="C89" s="17"/>
      <c r="D89" s="54"/>
      <c r="E89" s="54"/>
      <c r="F89" s="54"/>
      <c r="G89" s="53"/>
      <c r="H89" s="52"/>
      <c r="I89" s="53"/>
    </row>
    <row r="90" spans="1:9" hidden="1" x14ac:dyDescent="0.25">
      <c r="A90" s="15">
        <f t="shared" si="1"/>
        <v>0.27430555555555552</v>
      </c>
      <c r="B90" s="17">
        <v>395</v>
      </c>
      <c r="C90" s="68"/>
      <c r="D90" s="53"/>
      <c r="E90" s="53"/>
      <c r="F90" s="53"/>
      <c r="G90" s="53"/>
      <c r="H90" s="53"/>
      <c r="I90" s="53"/>
    </row>
    <row r="91" spans="1:9" hidden="1" x14ac:dyDescent="0.25">
      <c r="A91" s="15">
        <f t="shared" si="1"/>
        <v>0.27777777777777779</v>
      </c>
      <c r="B91" s="17">
        <v>400</v>
      </c>
      <c r="C91" s="68"/>
      <c r="D91" s="53"/>
      <c r="E91" s="53"/>
      <c r="F91" s="53"/>
      <c r="G91" s="53"/>
      <c r="H91" s="53"/>
      <c r="I91" s="53"/>
    </row>
    <row r="92" spans="1:9" hidden="1" x14ac:dyDescent="0.25">
      <c r="A92" s="15">
        <f t="shared" si="1"/>
        <v>0.28125</v>
      </c>
      <c r="B92" s="17">
        <v>405</v>
      </c>
      <c r="C92" s="68"/>
      <c r="D92" s="53"/>
      <c r="E92" s="53"/>
      <c r="F92" s="54"/>
      <c r="G92" s="53"/>
      <c r="H92" s="52"/>
      <c r="I92" s="53"/>
    </row>
    <row r="93" spans="1:9" hidden="1" x14ac:dyDescent="0.25">
      <c r="A93" s="15">
        <f t="shared" si="1"/>
        <v>0.28472222222222221</v>
      </c>
      <c r="B93" s="17">
        <v>410</v>
      </c>
      <c r="C93" s="68"/>
      <c r="D93" s="53"/>
      <c r="E93" s="53"/>
      <c r="F93" s="53"/>
      <c r="G93" s="53"/>
      <c r="H93" s="53"/>
      <c r="I93" s="53"/>
    </row>
    <row r="94" spans="1:9" hidden="1" x14ac:dyDescent="0.25">
      <c r="A94" s="15">
        <f t="shared" si="1"/>
        <v>0.28819444444444448</v>
      </c>
      <c r="B94" s="17">
        <v>415</v>
      </c>
      <c r="C94" s="68"/>
      <c r="D94" s="53"/>
      <c r="E94" s="53"/>
      <c r="F94" s="53"/>
      <c r="G94" s="53"/>
      <c r="H94" s="53"/>
      <c r="I94" s="53"/>
    </row>
    <row r="95" spans="1:9" hidden="1" x14ac:dyDescent="0.25">
      <c r="A95" s="15">
        <f t="shared" si="1"/>
        <v>0.29166666666666669</v>
      </c>
      <c r="B95" s="17">
        <v>420</v>
      </c>
      <c r="C95" s="17"/>
      <c r="D95" s="54"/>
      <c r="E95" s="54"/>
      <c r="F95" s="54"/>
      <c r="G95" s="53"/>
      <c r="H95" s="52"/>
      <c r="I95" s="53"/>
    </row>
    <row r="96" spans="1:9" hidden="1" x14ac:dyDescent="0.25">
      <c r="A96" s="15">
        <f t="shared" si="1"/>
        <v>0.2951388888888889</v>
      </c>
      <c r="B96" s="17">
        <v>425</v>
      </c>
      <c r="C96" s="68"/>
      <c r="D96" s="53"/>
      <c r="E96" s="53"/>
      <c r="F96" s="53"/>
      <c r="G96" s="53"/>
      <c r="H96" s="53"/>
      <c r="I96" s="53"/>
    </row>
    <row r="97" spans="1:9" hidden="1" x14ac:dyDescent="0.25">
      <c r="A97" s="15">
        <f t="shared" si="1"/>
        <v>0.2986111111111111</v>
      </c>
      <c r="B97" s="17">
        <v>430</v>
      </c>
      <c r="C97" s="68"/>
      <c r="D97" s="53"/>
      <c r="E97" s="53"/>
      <c r="F97" s="53"/>
      <c r="G97" s="53"/>
      <c r="H97" s="53"/>
      <c r="I97" s="53"/>
    </row>
    <row r="98" spans="1:9" hidden="1" x14ac:dyDescent="0.25">
      <c r="A98" s="15">
        <f t="shared" si="1"/>
        <v>0.30208333333333331</v>
      </c>
      <c r="B98" s="17">
        <v>435</v>
      </c>
      <c r="C98" s="68"/>
      <c r="D98" s="53"/>
      <c r="E98" s="53"/>
      <c r="F98" s="53"/>
      <c r="G98" s="53"/>
      <c r="H98" s="53"/>
      <c r="I98" s="53"/>
    </row>
    <row r="99" spans="1:9" hidden="1" x14ac:dyDescent="0.25">
      <c r="A99" s="15">
        <f t="shared" si="1"/>
        <v>0.30555555555555552</v>
      </c>
      <c r="B99" s="17">
        <v>440</v>
      </c>
      <c r="C99" s="17"/>
      <c r="D99" s="54"/>
      <c r="E99" s="54"/>
      <c r="F99" s="54"/>
      <c r="G99" s="53"/>
      <c r="H99" s="52"/>
      <c r="I99" s="53"/>
    </row>
    <row r="100" spans="1:9" hidden="1" x14ac:dyDescent="0.25">
      <c r="A100" s="15">
        <f t="shared" si="1"/>
        <v>0.30902777777777779</v>
      </c>
      <c r="B100" s="17">
        <v>445</v>
      </c>
      <c r="C100" s="68"/>
      <c r="D100" s="53"/>
      <c r="E100" s="53"/>
      <c r="F100" s="53"/>
      <c r="G100" s="53"/>
      <c r="H100" s="53"/>
      <c r="I100" s="53"/>
    </row>
    <row r="101" spans="1:9" hidden="1" x14ac:dyDescent="0.25">
      <c r="A101" s="15">
        <f t="shared" si="1"/>
        <v>0.3125</v>
      </c>
      <c r="B101" s="17">
        <v>450</v>
      </c>
      <c r="C101" s="68"/>
      <c r="D101" s="53"/>
      <c r="E101" s="53"/>
      <c r="F101" s="53"/>
      <c r="G101" s="53"/>
      <c r="H101" s="53"/>
      <c r="I101" s="53"/>
    </row>
    <row r="102" spans="1:9" hidden="1" x14ac:dyDescent="0.25">
      <c r="A102" s="15">
        <f t="shared" si="1"/>
        <v>0.31597222222222221</v>
      </c>
      <c r="B102" s="17">
        <v>455</v>
      </c>
      <c r="C102" s="68"/>
      <c r="D102" s="53"/>
      <c r="E102" s="53"/>
      <c r="F102" s="53"/>
      <c r="G102" s="53"/>
      <c r="H102" s="53"/>
      <c r="I102" s="53"/>
    </row>
    <row r="103" spans="1:9" hidden="1" x14ac:dyDescent="0.25">
      <c r="A103" s="15">
        <f t="shared" si="1"/>
        <v>0.31944444444444448</v>
      </c>
      <c r="B103" s="17">
        <v>460</v>
      </c>
      <c r="C103" s="17"/>
      <c r="D103" s="54"/>
      <c r="E103" s="54"/>
      <c r="F103" s="54"/>
      <c r="G103" s="53"/>
      <c r="H103" s="52"/>
      <c r="I103" s="53"/>
    </row>
    <row r="104" spans="1:9" hidden="1" x14ac:dyDescent="0.25">
      <c r="A104" s="15">
        <f t="shared" si="1"/>
        <v>0.32291666666666669</v>
      </c>
      <c r="B104" s="17">
        <v>465</v>
      </c>
      <c r="C104" s="68"/>
      <c r="D104" s="53"/>
      <c r="E104" s="53"/>
      <c r="F104" s="53"/>
      <c r="G104" s="53"/>
      <c r="H104" s="53"/>
      <c r="I104" s="53"/>
    </row>
    <row r="105" spans="1:9" hidden="1" x14ac:dyDescent="0.25">
      <c r="A105" s="15">
        <f t="shared" si="1"/>
        <v>0.3263888888888889</v>
      </c>
      <c r="B105" s="17">
        <v>470</v>
      </c>
      <c r="C105" s="68"/>
      <c r="D105" s="53"/>
      <c r="E105" s="53"/>
      <c r="F105" s="53"/>
      <c r="G105" s="53"/>
      <c r="H105" s="53"/>
      <c r="I105" s="53"/>
    </row>
    <row r="106" spans="1:9" hidden="1" x14ac:dyDescent="0.25">
      <c r="A106" s="15">
        <f t="shared" si="1"/>
        <v>0.3298611111111111</v>
      </c>
      <c r="B106" s="17">
        <v>475</v>
      </c>
      <c r="C106" s="68"/>
      <c r="D106" s="53"/>
      <c r="E106" s="53"/>
      <c r="F106" s="53"/>
      <c r="G106" s="53"/>
      <c r="H106" s="53"/>
      <c r="I106" s="53"/>
    </row>
    <row r="107" spans="1:9" hidden="1" x14ac:dyDescent="0.25">
      <c r="A107" s="15">
        <f t="shared" si="1"/>
        <v>0.33333333333333331</v>
      </c>
      <c r="B107" s="17">
        <v>480</v>
      </c>
      <c r="C107" s="17"/>
      <c r="D107" s="54"/>
      <c r="E107" s="54"/>
      <c r="F107" s="53"/>
      <c r="G107" s="52"/>
      <c r="H107" s="53"/>
      <c r="I107" s="53"/>
    </row>
    <row r="108" spans="1:9" hidden="1" x14ac:dyDescent="0.25">
      <c r="A108" s="15">
        <f t="shared" si="1"/>
        <v>0.33680555555555558</v>
      </c>
      <c r="B108" s="17">
        <v>485</v>
      </c>
      <c r="C108" s="68"/>
      <c r="D108" s="53"/>
      <c r="E108" s="53"/>
      <c r="F108" s="53"/>
      <c r="G108" s="53"/>
      <c r="H108" s="53"/>
      <c r="I108" s="53"/>
    </row>
    <row r="109" spans="1:9" hidden="1" x14ac:dyDescent="0.25">
      <c r="A109" s="15">
        <f t="shared" si="1"/>
        <v>0.34027777777777773</v>
      </c>
      <c r="B109" s="17">
        <v>490</v>
      </c>
      <c r="C109" s="68"/>
      <c r="D109" s="53"/>
      <c r="E109" s="53"/>
      <c r="F109" s="53"/>
      <c r="G109" s="53"/>
      <c r="H109" s="53"/>
      <c r="I109" s="53"/>
    </row>
    <row r="110" spans="1:9" hidden="1" x14ac:dyDescent="0.25">
      <c r="A110" s="15">
        <f t="shared" si="1"/>
        <v>0.34375</v>
      </c>
      <c r="B110" s="17">
        <v>495</v>
      </c>
      <c r="C110" s="68"/>
      <c r="D110" s="53"/>
      <c r="E110" s="53"/>
      <c r="F110" s="53"/>
      <c r="G110" s="53"/>
      <c r="H110" s="53"/>
      <c r="I110" s="53"/>
    </row>
    <row r="111" spans="1:9" hidden="1" x14ac:dyDescent="0.25">
      <c r="A111" s="15">
        <f t="shared" si="1"/>
        <v>0.34722222222222227</v>
      </c>
      <c r="B111" s="17">
        <v>500</v>
      </c>
      <c r="C111" s="17"/>
      <c r="D111" s="54"/>
      <c r="E111" s="54"/>
      <c r="F111" s="53"/>
      <c r="G111" s="52"/>
      <c r="H111" s="53"/>
      <c r="I111" s="53"/>
    </row>
    <row r="112" spans="1:9" hidden="1" x14ac:dyDescent="0.25">
      <c r="A112" s="15">
        <f t="shared" si="1"/>
        <v>0.35069444444444442</v>
      </c>
      <c r="B112" s="17">
        <v>505</v>
      </c>
      <c r="C112" s="68"/>
      <c r="D112" s="53"/>
      <c r="E112" s="53"/>
      <c r="F112" s="53"/>
      <c r="G112" s="53"/>
      <c r="H112" s="53"/>
      <c r="I112" s="53"/>
    </row>
    <row r="113" spans="1:9" hidden="1" x14ac:dyDescent="0.25">
      <c r="A113" s="15">
        <f t="shared" si="1"/>
        <v>0.35416666666666669</v>
      </c>
      <c r="B113" s="17">
        <v>510</v>
      </c>
      <c r="C113" s="68"/>
      <c r="D113" s="53"/>
      <c r="E113" s="53"/>
      <c r="F113" s="54"/>
      <c r="G113" s="53"/>
      <c r="H113" s="52"/>
      <c r="I113" s="53"/>
    </row>
    <row r="114" spans="1:9" hidden="1" x14ac:dyDescent="0.25">
      <c r="A114" s="15">
        <f t="shared" si="1"/>
        <v>0.3576388888888889</v>
      </c>
      <c r="B114" s="17">
        <v>515</v>
      </c>
      <c r="C114" s="68"/>
      <c r="D114" s="53"/>
      <c r="E114" s="53"/>
      <c r="F114" s="53"/>
      <c r="G114" s="53"/>
      <c r="H114" s="53"/>
      <c r="I114" s="53"/>
    </row>
    <row r="115" spans="1:9" hidden="1" x14ac:dyDescent="0.25">
      <c r="A115" s="15">
        <f t="shared" si="1"/>
        <v>0.3611111111111111</v>
      </c>
      <c r="B115" s="17">
        <v>520</v>
      </c>
      <c r="C115" s="17"/>
      <c r="D115" s="54"/>
      <c r="E115" s="54"/>
      <c r="F115" s="53"/>
      <c r="G115" s="52"/>
      <c r="H115" s="53"/>
      <c r="I115" s="53"/>
    </row>
    <row r="116" spans="1:9" hidden="1" x14ac:dyDescent="0.25">
      <c r="A116" s="15">
        <f t="shared" si="1"/>
        <v>0.36458333333333331</v>
      </c>
      <c r="B116" s="17">
        <v>525</v>
      </c>
      <c r="C116" s="68"/>
      <c r="D116" s="53"/>
      <c r="E116" s="53"/>
      <c r="F116" s="54"/>
      <c r="G116" s="53"/>
      <c r="H116" s="52"/>
      <c r="I116" s="53"/>
    </row>
    <row r="117" spans="1:9" hidden="1" x14ac:dyDescent="0.25">
      <c r="A117" s="15">
        <f t="shared" si="1"/>
        <v>0.36805555555555558</v>
      </c>
      <c r="B117" s="17">
        <v>530</v>
      </c>
      <c r="C117" s="68"/>
      <c r="D117" s="53"/>
      <c r="E117" s="53"/>
      <c r="F117" s="53"/>
      <c r="G117" s="53"/>
      <c r="H117" s="53"/>
      <c r="I117" s="53"/>
    </row>
    <row r="118" spans="1:9" hidden="1" x14ac:dyDescent="0.25">
      <c r="A118" s="15">
        <f t="shared" si="1"/>
        <v>0.37152777777777773</v>
      </c>
      <c r="B118" s="17">
        <v>535</v>
      </c>
      <c r="C118" s="68"/>
      <c r="D118" s="53"/>
      <c r="E118" s="53"/>
      <c r="F118" s="53"/>
      <c r="G118" s="53"/>
      <c r="H118" s="53"/>
      <c r="I118" s="53"/>
    </row>
    <row r="119" spans="1:9" hidden="1" x14ac:dyDescent="0.25">
      <c r="A119" s="15">
        <f t="shared" si="1"/>
        <v>0.375</v>
      </c>
      <c r="B119" s="17">
        <v>540</v>
      </c>
      <c r="C119" s="17"/>
      <c r="D119" s="54"/>
      <c r="E119" s="54"/>
      <c r="F119" s="54"/>
      <c r="G119" s="53"/>
      <c r="H119" s="52"/>
      <c r="I119" s="53"/>
    </row>
    <row r="120" spans="1:9" hidden="1" x14ac:dyDescent="0.25">
      <c r="A120" s="15">
        <f t="shared" si="1"/>
        <v>0.37847222222222227</v>
      </c>
      <c r="B120" s="17">
        <v>545</v>
      </c>
      <c r="C120" s="68"/>
      <c r="D120" s="53"/>
      <c r="E120" s="53"/>
      <c r="F120" s="53"/>
      <c r="G120" s="53"/>
      <c r="H120" s="53"/>
      <c r="I120" s="53"/>
    </row>
    <row r="121" spans="1:9" hidden="1" x14ac:dyDescent="0.25">
      <c r="A121" s="15">
        <f t="shared" si="1"/>
        <v>0.38194444444444442</v>
      </c>
      <c r="B121" s="17">
        <v>550</v>
      </c>
      <c r="C121" s="68"/>
      <c r="D121" s="53"/>
      <c r="E121" s="53"/>
      <c r="F121" s="53"/>
      <c r="G121" s="53"/>
      <c r="H121" s="53"/>
      <c r="I121" s="53"/>
    </row>
    <row r="122" spans="1:9" hidden="1" x14ac:dyDescent="0.25">
      <c r="A122" s="15">
        <f t="shared" si="1"/>
        <v>0.38541666666666669</v>
      </c>
      <c r="B122" s="17">
        <v>555</v>
      </c>
      <c r="C122" s="68"/>
      <c r="D122" s="53"/>
      <c r="E122" s="53"/>
      <c r="F122" s="53"/>
      <c r="G122" s="53"/>
      <c r="H122" s="53"/>
      <c r="I122" s="53"/>
    </row>
    <row r="123" spans="1:9" hidden="1" x14ac:dyDescent="0.25">
      <c r="A123" s="15">
        <f t="shared" si="1"/>
        <v>0.3888888888888889</v>
      </c>
      <c r="B123" s="17">
        <v>560</v>
      </c>
      <c r="C123" s="68"/>
      <c r="D123" s="53"/>
      <c r="E123" s="53"/>
      <c r="F123" s="53"/>
      <c r="G123" s="53"/>
      <c r="H123" s="53"/>
      <c r="I123" s="53"/>
    </row>
    <row r="124" spans="1:9" hidden="1" x14ac:dyDescent="0.25">
      <c r="A124" s="15">
        <f t="shared" si="1"/>
        <v>0.3923611111111111</v>
      </c>
      <c r="B124" s="17">
        <v>565</v>
      </c>
      <c r="C124" s="68"/>
      <c r="D124" s="53"/>
      <c r="E124" s="53"/>
      <c r="F124" s="53"/>
      <c r="G124" s="53"/>
      <c r="H124" s="53"/>
      <c r="I124" s="53"/>
    </row>
    <row r="125" spans="1:9" x14ac:dyDescent="0.25">
      <c r="A125" s="15">
        <f t="shared" si="1"/>
        <v>0.39583333333333331</v>
      </c>
      <c r="B125" s="17">
        <v>570</v>
      </c>
      <c r="C125" s="17"/>
      <c r="D125" s="54"/>
      <c r="E125" s="54"/>
      <c r="F125" s="54"/>
      <c r="G125" s="53"/>
      <c r="H125" s="52"/>
      <c r="I125" s="53"/>
    </row>
    <row r="126" spans="1:9" x14ac:dyDescent="0.25">
      <c r="A126" s="15">
        <f t="shared" si="1"/>
        <v>0.39930555555555558</v>
      </c>
      <c r="B126" s="17">
        <v>575</v>
      </c>
      <c r="C126" s="68"/>
      <c r="D126" s="53"/>
      <c r="E126" s="53"/>
      <c r="F126" s="53"/>
      <c r="G126" s="53"/>
      <c r="H126" s="53"/>
      <c r="I126" s="53"/>
    </row>
    <row r="127" spans="1:9" x14ac:dyDescent="0.25">
      <c r="A127" s="15">
        <f t="shared" si="1"/>
        <v>0.40277777777777773</v>
      </c>
      <c r="B127" s="17">
        <v>580</v>
      </c>
      <c r="C127" s="68"/>
      <c r="D127" s="53"/>
      <c r="E127" s="53"/>
      <c r="F127" s="53"/>
      <c r="G127" s="53"/>
      <c r="H127" s="53"/>
      <c r="I127" s="53"/>
    </row>
    <row r="128" spans="1:9" x14ac:dyDescent="0.25">
      <c r="A128" s="15">
        <f t="shared" si="1"/>
        <v>0.40625</v>
      </c>
      <c r="B128" s="17">
        <v>585</v>
      </c>
      <c r="C128" s="68"/>
      <c r="D128" s="53"/>
      <c r="E128" s="53"/>
      <c r="F128" s="53"/>
      <c r="G128" s="53"/>
      <c r="H128" s="53"/>
      <c r="I128" s="53"/>
    </row>
    <row r="129" spans="1:9" x14ac:dyDescent="0.25">
      <c r="A129" s="15">
        <f t="shared" si="1"/>
        <v>0.40972222222222227</v>
      </c>
      <c r="B129" s="17">
        <v>590</v>
      </c>
      <c r="C129" s="68"/>
      <c r="D129" s="53"/>
      <c r="E129" s="53"/>
      <c r="F129" s="53"/>
      <c r="G129" s="53"/>
      <c r="H129" s="53"/>
      <c r="I129" s="53"/>
    </row>
    <row r="130" spans="1:9" x14ac:dyDescent="0.25">
      <c r="A130" s="15">
        <f t="shared" si="1"/>
        <v>0.41319444444444442</v>
      </c>
      <c r="B130" s="17">
        <v>595</v>
      </c>
      <c r="C130" s="68"/>
      <c r="D130" s="53"/>
      <c r="E130" s="53"/>
      <c r="F130" s="53"/>
      <c r="G130" s="53"/>
      <c r="H130" s="53"/>
      <c r="I130" s="53"/>
    </row>
    <row r="131" spans="1:9" x14ac:dyDescent="0.25">
      <c r="A131" s="15">
        <f t="shared" si="1"/>
        <v>0.41666666666666669</v>
      </c>
      <c r="B131" s="17">
        <v>600</v>
      </c>
      <c r="C131" s="17"/>
      <c r="D131" s="54"/>
      <c r="E131" s="54"/>
      <c r="F131" s="54"/>
      <c r="G131" s="53"/>
      <c r="H131" s="52"/>
      <c r="I131" s="53"/>
    </row>
    <row r="132" spans="1:9" x14ac:dyDescent="0.25">
      <c r="A132" s="15">
        <f t="shared" si="1"/>
        <v>0.4201388888888889</v>
      </c>
      <c r="B132" s="17">
        <v>605</v>
      </c>
      <c r="C132" s="68"/>
      <c r="D132" s="53"/>
      <c r="E132" s="53"/>
      <c r="F132" s="53"/>
      <c r="G132" s="53"/>
      <c r="H132" s="53"/>
      <c r="I132" s="53"/>
    </row>
    <row r="133" spans="1:9" x14ac:dyDescent="0.25">
      <c r="A133" s="15">
        <f t="shared" si="1"/>
        <v>0.4236111111111111</v>
      </c>
      <c r="B133" s="17">
        <v>610</v>
      </c>
      <c r="C133" s="68"/>
      <c r="D133" s="53"/>
      <c r="E133" s="53"/>
      <c r="F133" s="53"/>
      <c r="G133" s="53"/>
      <c r="H133" s="53"/>
      <c r="I133" s="53"/>
    </row>
    <row r="134" spans="1:9" x14ac:dyDescent="0.25">
      <c r="A134" s="15">
        <f t="shared" si="1"/>
        <v>0.42708333333333331</v>
      </c>
      <c r="B134" s="17">
        <v>615</v>
      </c>
      <c r="C134" s="68"/>
      <c r="D134" s="53"/>
      <c r="E134" s="53"/>
      <c r="F134" s="53"/>
      <c r="G134" s="53"/>
      <c r="H134" s="53"/>
      <c r="I134" s="53"/>
    </row>
    <row r="135" spans="1:9" x14ac:dyDescent="0.25">
      <c r="A135" s="15">
        <f t="shared" si="1"/>
        <v>0.43055555555555558</v>
      </c>
      <c r="B135" s="17">
        <v>620</v>
      </c>
      <c r="C135" s="68"/>
      <c r="D135" s="53"/>
      <c r="E135" s="53"/>
      <c r="F135" s="54"/>
      <c r="G135" s="53"/>
      <c r="H135" s="52"/>
      <c r="I135" s="53"/>
    </row>
    <row r="136" spans="1:9" x14ac:dyDescent="0.25">
      <c r="A136" s="15">
        <f t="shared" si="1"/>
        <v>0.43402777777777773</v>
      </c>
      <c r="B136" s="17">
        <v>625</v>
      </c>
      <c r="C136" s="139"/>
      <c r="D136" s="138"/>
      <c r="E136" s="138"/>
      <c r="F136" s="138"/>
      <c r="G136" s="138"/>
      <c r="H136" s="53"/>
      <c r="I136" s="53"/>
    </row>
    <row r="137" spans="1:9" x14ac:dyDescent="0.25">
      <c r="A137" s="15">
        <f t="shared" si="1"/>
        <v>0.4375</v>
      </c>
      <c r="B137" s="17">
        <v>630</v>
      </c>
      <c r="C137" s="120" t="s">
        <v>84</v>
      </c>
      <c r="D137" s="133" t="s">
        <v>84</v>
      </c>
      <c r="E137" s="133" t="s">
        <v>84</v>
      </c>
      <c r="F137" s="133" t="s">
        <v>84</v>
      </c>
      <c r="G137" s="119" t="s">
        <v>84</v>
      </c>
      <c r="H137" s="52"/>
      <c r="I137" s="53"/>
    </row>
    <row r="138" spans="1:9" x14ac:dyDescent="0.25">
      <c r="A138" s="15">
        <f t="shared" si="1"/>
        <v>0.44097222222222227</v>
      </c>
      <c r="B138" s="17">
        <v>635</v>
      </c>
      <c r="C138" s="144" t="s">
        <v>84</v>
      </c>
      <c r="D138" s="121" t="s">
        <v>84</v>
      </c>
      <c r="E138" s="121" t="s">
        <v>84</v>
      </c>
      <c r="F138" s="121" t="s">
        <v>84</v>
      </c>
      <c r="G138" s="121" t="s">
        <v>84</v>
      </c>
      <c r="H138" s="53"/>
      <c r="I138" s="53"/>
    </row>
    <row r="139" spans="1:9" x14ac:dyDescent="0.25">
      <c r="A139" s="15">
        <f t="shared" si="1"/>
        <v>0.44444444444444442</v>
      </c>
      <c r="B139" s="17">
        <v>640</v>
      </c>
      <c r="C139" s="92" t="s">
        <v>84</v>
      </c>
      <c r="D139" s="122" t="s">
        <v>84</v>
      </c>
      <c r="E139" s="122" t="s">
        <v>84</v>
      </c>
      <c r="F139" s="134" t="s">
        <v>84</v>
      </c>
      <c r="G139" s="122" t="s">
        <v>84</v>
      </c>
      <c r="H139" s="52"/>
      <c r="I139" s="53"/>
    </row>
    <row r="140" spans="1:9" x14ac:dyDescent="0.25">
      <c r="A140" s="15">
        <f t="shared" ref="A140:A203" si="2">TIME(,B140,)</f>
        <v>0.44791666666666669</v>
      </c>
      <c r="B140" s="17">
        <v>645</v>
      </c>
      <c r="C140" s="89" t="s">
        <v>84</v>
      </c>
      <c r="D140" s="134" t="s">
        <v>84</v>
      </c>
      <c r="E140" s="134" t="s">
        <v>84</v>
      </c>
      <c r="F140" s="122" t="s">
        <v>84</v>
      </c>
      <c r="G140" s="91" t="s">
        <v>84</v>
      </c>
      <c r="H140" s="53"/>
      <c r="I140" s="53"/>
    </row>
    <row r="141" spans="1:9" x14ac:dyDescent="0.25">
      <c r="A141" s="15">
        <f t="shared" si="2"/>
        <v>0.4513888888888889</v>
      </c>
      <c r="B141" s="17">
        <v>650</v>
      </c>
      <c r="C141" s="92" t="s">
        <v>84</v>
      </c>
      <c r="D141" s="122" t="s">
        <v>84</v>
      </c>
      <c r="E141" s="122" t="s">
        <v>84</v>
      </c>
      <c r="F141" s="122" t="s">
        <v>84</v>
      </c>
      <c r="G141" s="122" t="s">
        <v>84</v>
      </c>
      <c r="H141" s="53"/>
      <c r="I141" s="53"/>
    </row>
    <row r="142" spans="1:9" x14ac:dyDescent="0.25">
      <c r="A142" s="15">
        <f t="shared" si="2"/>
        <v>0.4548611111111111</v>
      </c>
      <c r="B142" s="17">
        <v>655</v>
      </c>
      <c r="C142" s="145" t="s">
        <v>84</v>
      </c>
      <c r="D142" s="124" t="s">
        <v>84</v>
      </c>
      <c r="E142" s="124" t="s">
        <v>84</v>
      </c>
      <c r="F142" s="124" t="s">
        <v>84</v>
      </c>
      <c r="G142" s="124" t="s">
        <v>84</v>
      </c>
      <c r="H142" s="53"/>
      <c r="I142" s="53"/>
    </row>
    <row r="143" spans="1:9" x14ac:dyDescent="0.25">
      <c r="A143" s="15">
        <f t="shared" si="2"/>
        <v>0.45833333333333331</v>
      </c>
      <c r="B143" s="17">
        <v>660</v>
      </c>
      <c r="C143" s="120" t="s">
        <v>84</v>
      </c>
      <c r="D143" s="133" t="s">
        <v>84</v>
      </c>
      <c r="E143" s="133" t="s">
        <v>84</v>
      </c>
      <c r="F143" s="133" t="s">
        <v>84</v>
      </c>
      <c r="G143" s="97" t="s">
        <v>102</v>
      </c>
      <c r="H143" s="52"/>
      <c r="I143" s="53"/>
    </row>
    <row r="144" spans="1:9" x14ac:dyDescent="0.25">
      <c r="A144" s="15">
        <f t="shared" si="2"/>
        <v>0.46180555555555558</v>
      </c>
      <c r="B144" s="17">
        <v>665</v>
      </c>
      <c r="C144" s="144" t="s">
        <v>84</v>
      </c>
      <c r="D144" s="121" t="s">
        <v>84</v>
      </c>
      <c r="E144" s="121" t="s">
        <v>84</v>
      </c>
      <c r="F144" s="121" t="s">
        <v>84</v>
      </c>
      <c r="G144" s="126" t="s">
        <v>102</v>
      </c>
      <c r="H144" s="53"/>
      <c r="I144" s="53"/>
    </row>
    <row r="145" spans="1:9" x14ac:dyDescent="0.25">
      <c r="A145" s="15">
        <f t="shared" si="2"/>
        <v>0.46527777777777773</v>
      </c>
      <c r="B145" s="17">
        <v>670</v>
      </c>
      <c r="C145" s="92" t="s">
        <v>84</v>
      </c>
      <c r="D145" s="122" t="s">
        <v>84</v>
      </c>
      <c r="E145" s="122" t="s">
        <v>84</v>
      </c>
      <c r="F145" s="122" t="s">
        <v>84</v>
      </c>
      <c r="G145" s="95" t="s">
        <v>102</v>
      </c>
      <c r="H145" s="53"/>
      <c r="I145" s="53"/>
    </row>
    <row r="146" spans="1:9" x14ac:dyDescent="0.25">
      <c r="A146" s="15">
        <f t="shared" si="2"/>
        <v>0.46875</v>
      </c>
      <c r="B146" s="17">
        <v>675</v>
      </c>
      <c r="C146" s="92" t="s">
        <v>84</v>
      </c>
      <c r="D146" s="122" t="s">
        <v>84</v>
      </c>
      <c r="E146" s="122" t="s">
        <v>84</v>
      </c>
      <c r="F146" s="122" t="s">
        <v>84</v>
      </c>
      <c r="G146" s="127" t="s">
        <v>102</v>
      </c>
      <c r="H146" s="53"/>
      <c r="I146" s="53"/>
    </row>
    <row r="147" spans="1:9" x14ac:dyDescent="0.25">
      <c r="A147" s="15">
        <f t="shared" si="2"/>
        <v>0.47222222222222227</v>
      </c>
      <c r="B147" s="17">
        <v>680</v>
      </c>
      <c r="C147" s="92" t="s">
        <v>84</v>
      </c>
      <c r="D147" s="122" t="s">
        <v>84</v>
      </c>
      <c r="E147" s="122" t="s">
        <v>84</v>
      </c>
      <c r="F147" s="134" t="s">
        <v>84</v>
      </c>
      <c r="G147" s="99" t="s">
        <v>85</v>
      </c>
      <c r="H147" s="52"/>
      <c r="I147" s="53"/>
    </row>
    <row r="148" spans="1:9" x14ac:dyDescent="0.25">
      <c r="A148" s="15">
        <f t="shared" si="2"/>
        <v>0.47569444444444442</v>
      </c>
      <c r="B148" s="17">
        <v>685</v>
      </c>
      <c r="C148" s="145" t="s">
        <v>84</v>
      </c>
      <c r="D148" s="124" t="s">
        <v>84</v>
      </c>
      <c r="E148" s="124" t="s">
        <v>84</v>
      </c>
      <c r="F148" s="124" t="s">
        <v>84</v>
      </c>
      <c r="G148" s="101" t="s">
        <v>85</v>
      </c>
      <c r="H148" s="53"/>
      <c r="I148" s="53"/>
    </row>
    <row r="149" spans="1:9" x14ac:dyDescent="0.25">
      <c r="A149" s="15">
        <f t="shared" si="2"/>
        <v>0.47916666666666669</v>
      </c>
      <c r="B149" s="17">
        <v>690</v>
      </c>
      <c r="C149" s="120" t="s">
        <v>84</v>
      </c>
      <c r="D149" s="133" t="s">
        <v>84</v>
      </c>
      <c r="E149" s="133" t="s">
        <v>84</v>
      </c>
      <c r="F149" s="119" t="s">
        <v>84</v>
      </c>
      <c r="G149" s="78" t="s">
        <v>85</v>
      </c>
      <c r="H149" s="53"/>
      <c r="I149" s="53"/>
    </row>
    <row r="150" spans="1:9" x14ac:dyDescent="0.25">
      <c r="A150" s="15">
        <f t="shared" si="2"/>
        <v>0.4826388888888889</v>
      </c>
      <c r="B150" s="17">
        <v>695</v>
      </c>
      <c r="C150" s="144" t="s">
        <v>84</v>
      </c>
      <c r="D150" s="121" t="s">
        <v>84</v>
      </c>
      <c r="E150" s="121" t="s">
        <v>84</v>
      </c>
      <c r="F150" s="121" t="s">
        <v>84</v>
      </c>
      <c r="G150" s="103" t="s">
        <v>85</v>
      </c>
      <c r="H150" s="53"/>
      <c r="I150" s="53"/>
    </row>
    <row r="151" spans="1:9" x14ac:dyDescent="0.25">
      <c r="A151" s="15">
        <f t="shared" si="2"/>
        <v>0.4861111111111111</v>
      </c>
      <c r="B151" s="17">
        <v>700</v>
      </c>
      <c r="C151" s="92" t="s">
        <v>84</v>
      </c>
      <c r="D151" s="122" t="s">
        <v>84</v>
      </c>
      <c r="E151" s="122" t="s">
        <v>84</v>
      </c>
      <c r="F151" s="134" t="s">
        <v>84</v>
      </c>
      <c r="G151" s="114" t="s">
        <v>86</v>
      </c>
      <c r="H151" s="52"/>
      <c r="I151" s="53"/>
    </row>
    <row r="152" spans="1:9" x14ac:dyDescent="0.25">
      <c r="A152" s="15">
        <f t="shared" si="2"/>
        <v>0.48958333333333331</v>
      </c>
      <c r="B152" s="17">
        <v>705</v>
      </c>
      <c r="C152" s="92" t="s">
        <v>84</v>
      </c>
      <c r="D152" s="122" t="s">
        <v>84</v>
      </c>
      <c r="E152" s="122" t="s">
        <v>84</v>
      </c>
      <c r="F152" s="122" t="s">
        <v>84</v>
      </c>
      <c r="G152" s="115" t="s">
        <v>86</v>
      </c>
      <c r="H152" s="53"/>
      <c r="I152" s="53"/>
    </row>
    <row r="153" spans="1:9" x14ac:dyDescent="0.25">
      <c r="A153" s="15">
        <f t="shared" si="2"/>
        <v>0.49305555555555558</v>
      </c>
      <c r="B153" s="17">
        <v>710</v>
      </c>
      <c r="C153" s="92" t="s">
        <v>84</v>
      </c>
      <c r="D153" s="122" t="s">
        <v>84</v>
      </c>
      <c r="E153" s="122" t="s">
        <v>84</v>
      </c>
      <c r="F153" s="122" t="s">
        <v>84</v>
      </c>
      <c r="G153" s="113" t="s">
        <v>86</v>
      </c>
      <c r="H153" s="53"/>
      <c r="I153" s="53"/>
    </row>
    <row r="154" spans="1:9" x14ac:dyDescent="0.25">
      <c r="A154" s="15">
        <f t="shared" si="2"/>
        <v>0.49652777777777773</v>
      </c>
      <c r="B154" s="17">
        <v>715</v>
      </c>
      <c r="C154" s="145" t="s">
        <v>84</v>
      </c>
      <c r="D154" s="124" t="s">
        <v>84</v>
      </c>
      <c r="E154" s="124" t="s">
        <v>84</v>
      </c>
      <c r="F154" s="124" t="s">
        <v>84</v>
      </c>
      <c r="G154" s="117" t="s">
        <v>86</v>
      </c>
      <c r="H154" s="53"/>
      <c r="I154" s="53"/>
    </row>
    <row r="155" spans="1:9" x14ac:dyDescent="0.25">
      <c r="A155" s="15">
        <f t="shared" si="2"/>
        <v>0.5</v>
      </c>
      <c r="B155" s="17">
        <v>720</v>
      </c>
      <c r="C155" s="96" t="s">
        <v>102</v>
      </c>
      <c r="D155" s="125" t="s">
        <v>102</v>
      </c>
      <c r="E155" s="125" t="s">
        <v>102</v>
      </c>
      <c r="F155" s="125" t="s">
        <v>102</v>
      </c>
      <c r="G155" s="108" t="s">
        <v>88</v>
      </c>
      <c r="H155" s="52"/>
      <c r="I155" s="53"/>
    </row>
    <row r="156" spans="1:9" x14ac:dyDescent="0.25">
      <c r="A156" s="15">
        <f t="shared" si="2"/>
        <v>0.50347222222222221</v>
      </c>
      <c r="B156" s="17">
        <v>725</v>
      </c>
      <c r="C156" s="146" t="s">
        <v>102</v>
      </c>
      <c r="D156" s="126" t="s">
        <v>102</v>
      </c>
      <c r="E156" s="126" t="s">
        <v>102</v>
      </c>
      <c r="F156" s="126" t="s">
        <v>102</v>
      </c>
      <c r="G156" s="110" t="s">
        <v>88</v>
      </c>
      <c r="H156" s="53"/>
      <c r="I156" s="53"/>
    </row>
    <row r="157" spans="1:9" x14ac:dyDescent="0.25">
      <c r="A157" s="15">
        <f t="shared" si="2"/>
        <v>0.50694444444444442</v>
      </c>
      <c r="B157" s="17">
        <v>730</v>
      </c>
      <c r="C157" s="72" t="s">
        <v>102</v>
      </c>
      <c r="D157" s="95" t="s">
        <v>102</v>
      </c>
      <c r="E157" s="95" t="s">
        <v>102</v>
      </c>
      <c r="F157" s="95" t="s">
        <v>102</v>
      </c>
      <c r="G157" s="112" t="s">
        <v>88</v>
      </c>
      <c r="H157" s="53"/>
      <c r="I157" s="53"/>
    </row>
    <row r="158" spans="1:9" x14ac:dyDescent="0.25">
      <c r="A158" s="15">
        <f t="shared" si="2"/>
        <v>0.51041666666666663</v>
      </c>
      <c r="B158" s="17">
        <v>735</v>
      </c>
      <c r="C158" s="147" t="s">
        <v>102</v>
      </c>
      <c r="D158" s="127" t="s">
        <v>102</v>
      </c>
      <c r="E158" s="127" t="s">
        <v>102</v>
      </c>
      <c r="F158" s="98" t="s">
        <v>102</v>
      </c>
      <c r="G158" s="119" t="s">
        <v>84</v>
      </c>
      <c r="H158" s="52"/>
      <c r="I158" s="53"/>
    </row>
    <row r="159" spans="1:9" x14ac:dyDescent="0.25">
      <c r="A159" s="15">
        <f t="shared" si="2"/>
        <v>0.51388888888888895</v>
      </c>
      <c r="B159" s="17">
        <v>740</v>
      </c>
      <c r="C159" s="100" t="s">
        <v>85</v>
      </c>
      <c r="D159" s="128" t="s">
        <v>85</v>
      </c>
      <c r="E159" s="128" t="s">
        <v>85</v>
      </c>
      <c r="F159" s="99" t="s">
        <v>85</v>
      </c>
      <c r="G159" s="90" t="s">
        <v>84</v>
      </c>
      <c r="H159" s="53"/>
      <c r="I159" s="53"/>
    </row>
    <row r="160" spans="1:9" x14ac:dyDescent="0.25">
      <c r="A160" s="15">
        <f t="shared" si="2"/>
        <v>0.51736111111111105</v>
      </c>
      <c r="B160" s="17">
        <v>745</v>
      </c>
      <c r="C160" s="148" t="s">
        <v>85</v>
      </c>
      <c r="D160" s="101" t="s">
        <v>85</v>
      </c>
      <c r="E160" s="101" t="s">
        <v>85</v>
      </c>
      <c r="F160" s="101" t="s">
        <v>85</v>
      </c>
      <c r="G160" s="122" t="s">
        <v>84</v>
      </c>
      <c r="H160" s="53"/>
      <c r="I160" s="53"/>
    </row>
    <row r="161" spans="1:9" x14ac:dyDescent="0.25">
      <c r="A161" s="15">
        <f t="shared" si="2"/>
        <v>0.52083333333333337</v>
      </c>
      <c r="B161" s="17">
        <v>750</v>
      </c>
      <c r="C161" s="80" t="s">
        <v>85</v>
      </c>
      <c r="D161" s="102" t="s">
        <v>85</v>
      </c>
      <c r="E161" s="102" t="s">
        <v>85</v>
      </c>
      <c r="F161" s="102" t="s">
        <v>85</v>
      </c>
      <c r="G161" s="122" t="s">
        <v>84</v>
      </c>
      <c r="H161" s="53"/>
      <c r="I161" s="53"/>
    </row>
    <row r="162" spans="1:9" x14ac:dyDescent="0.25">
      <c r="A162" s="15">
        <f t="shared" si="2"/>
        <v>0.52430555555555558</v>
      </c>
      <c r="B162" s="17">
        <v>755</v>
      </c>
      <c r="C162" s="149" t="s">
        <v>85</v>
      </c>
      <c r="D162" s="103" t="s">
        <v>85</v>
      </c>
      <c r="E162" s="103" t="s">
        <v>85</v>
      </c>
      <c r="F162" s="103" t="s">
        <v>85</v>
      </c>
      <c r="G162" s="122" t="s">
        <v>84</v>
      </c>
      <c r="H162" s="53"/>
      <c r="I162" s="53"/>
    </row>
    <row r="163" spans="1:9" x14ac:dyDescent="0.25">
      <c r="A163" s="15">
        <f t="shared" si="2"/>
        <v>0.52777777777777779</v>
      </c>
      <c r="B163" s="17">
        <v>760</v>
      </c>
      <c r="C163" s="116" t="s">
        <v>86</v>
      </c>
      <c r="D163" s="132" t="s">
        <v>86</v>
      </c>
      <c r="E163" s="132" t="s">
        <v>86</v>
      </c>
      <c r="F163" s="114" t="s">
        <v>86</v>
      </c>
      <c r="G163" s="94" t="s">
        <v>84</v>
      </c>
      <c r="H163" s="53"/>
      <c r="I163" s="53"/>
    </row>
    <row r="164" spans="1:9" x14ac:dyDescent="0.25">
      <c r="A164" s="15">
        <f t="shared" si="2"/>
        <v>0.53125</v>
      </c>
      <c r="B164" s="17">
        <v>765</v>
      </c>
      <c r="C164" s="142" t="s">
        <v>86</v>
      </c>
      <c r="D164" s="115" t="s">
        <v>86</v>
      </c>
      <c r="E164" s="115" t="s">
        <v>86</v>
      </c>
      <c r="F164" s="159" t="s">
        <v>86</v>
      </c>
      <c r="G164" s="119" t="s">
        <v>84</v>
      </c>
      <c r="H164" s="52"/>
      <c r="I164" s="53"/>
    </row>
    <row r="165" spans="1:9" x14ac:dyDescent="0.25">
      <c r="A165" s="15">
        <f t="shared" si="2"/>
        <v>0.53472222222222221</v>
      </c>
      <c r="B165" s="17">
        <v>770</v>
      </c>
      <c r="C165" s="141" t="s">
        <v>86</v>
      </c>
      <c r="D165" s="113" t="s">
        <v>86</v>
      </c>
      <c r="E165" s="113" t="s">
        <v>86</v>
      </c>
      <c r="F165" s="113" t="s">
        <v>86</v>
      </c>
      <c r="G165" s="121" t="s">
        <v>84</v>
      </c>
      <c r="H165" s="53"/>
      <c r="I165" s="53"/>
    </row>
    <row r="166" spans="1:9" x14ac:dyDescent="0.25">
      <c r="A166" s="15">
        <f t="shared" si="2"/>
        <v>0.53819444444444442</v>
      </c>
      <c r="B166" s="17">
        <v>775</v>
      </c>
      <c r="C166" s="143" t="s">
        <v>86</v>
      </c>
      <c r="D166" s="117" t="s">
        <v>86</v>
      </c>
      <c r="E166" s="117" t="s">
        <v>86</v>
      </c>
      <c r="F166" s="117" t="s">
        <v>86</v>
      </c>
      <c r="G166" s="122" t="s">
        <v>84</v>
      </c>
      <c r="H166" s="53"/>
      <c r="I166" s="53"/>
    </row>
    <row r="167" spans="1:9" x14ac:dyDescent="0.25">
      <c r="A167" s="15">
        <f t="shared" si="2"/>
        <v>0.54166666666666663</v>
      </c>
      <c r="B167" s="17">
        <v>780</v>
      </c>
      <c r="C167" s="105" t="s">
        <v>87</v>
      </c>
      <c r="D167" s="130" t="s">
        <v>87</v>
      </c>
      <c r="E167" s="130" t="s">
        <v>87</v>
      </c>
      <c r="F167" s="104" t="s">
        <v>87</v>
      </c>
      <c r="G167" s="91" t="s">
        <v>84</v>
      </c>
      <c r="H167" s="53"/>
      <c r="I167" s="53"/>
    </row>
    <row r="168" spans="1:9" x14ac:dyDescent="0.25">
      <c r="A168" s="15">
        <f t="shared" si="2"/>
        <v>0.54513888888888895</v>
      </c>
      <c r="B168" s="17">
        <v>785</v>
      </c>
      <c r="C168" s="150" t="s">
        <v>87</v>
      </c>
      <c r="D168" s="135" t="s">
        <v>87</v>
      </c>
      <c r="E168" s="135" t="s">
        <v>87</v>
      </c>
      <c r="F168" s="135" t="s">
        <v>87</v>
      </c>
      <c r="G168" s="122" t="s">
        <v>84</v>
      </c>
      <c r="H168" s="53"/>
      <c r="I168" s="53"/>
    </row>
    <row r="169" spans="1:9" x14ac:dyDescent="0.25">
      <c r="A169" s="15">
        <f t="shared" si="2"/>
        <v>0.54861111111111105</v>
      </c>
      <c r="B169" s="17">
        <v>790</v>
      </c>
      <c r="C169" s="151" t="s">
        <v>87</v>
      </c>
      <c r="D169" s="107" t="s">
        <v>87</v>
      </c>
      <c r="E169" s="107" t="s">
        <v>87</v>
      </c>
      <c r="F169" s="107" t="s">
        <v>87</v>
      </c>
      <c r="G169" s="123" t="s">
        <v>84</v>
      </c>
      <c r="H169" s="53"/>
      <c r="I169" s="53"/>
    </row>
    <row r="170" spans="1:9" x14ac:dyDescent="0.25">
      <c r="A170" s="15">
        <f t="shared" si="2"/>
        <v>0.55208333333333337</v>
      </c>
      <c r="B170" s="17">
        <v>795</v>
      </c>
      <c r="C170" s="81" t="s">
        <v>87</v>
      </c>
      <c r="D170" s="106" t="s">
        <v>87</v>
      </c>
      <c r="E170" s="106" t="s">
        <v>87</v>
      </c>
      <c r="F170" s="107" t="s">
        <v>87</v>
      </c>
      <c r="G170" s="52"/>
      <c r="H170" s="53"/>
      <c r="I170" s="53"/>
    </row>
    <row r="171" spans="1:9" x14ac:dyDescent="0.25">
      <c r="A171" s="15">
        <f t="shared" si="2"/>
        <v>0.55555555555555558</v>
      </c>
      <c r="B171" s="17">
        <v>800</v>
      </c>
      <c r="C171" s="151" t="s">
        <v>87</v>
      </c>
      <c r="D171" s="107" t="s">
        <v>87</v>
      </c>
      <c r="E171" s="107" t="s">
        <v>87</v>
      </c>
      <c r="F171" s="107" t="s">
        <v>87</v>
      </c>
      <c r="G171" s="53"/>
      <c r="H171" s="53"/>
      <c r="I171" s="53"/>
    </row>
    <row r="172" spans="1:9" x14ac:dyDescent="0.25">
      <c r="A172" s="15">
        <f t="shared" si="2"/>
        <v>0.55902777777777779</v>
      </c>
      <c r="B172" s="17">
        <v>805</v>
      </c>
      <c r="C172" s="152" t="s">
        <v>87</v>
      </c>
      <c r="D172" s="136" t="s">
        <v>87</v>
      </c>
      <c r="E172" s="136" t="s">
        <v>87</v>
      </c>
      <c r="F172" s="136" t="s">
        <v>87</v>
      </c>
      <c r="G172" s="53"/>
      <c r="H172" s="53"/>
      <c r="I172" s="53"/>
    </row>
    <row r="173" spans="1:9" x14ac:dyDescent="0.25">
      <c r="A173" s="15">
        <f t="shared" si="2"/>
        <v>0.5625</v>
      </c>
      <c r="B173" s="17">
        <v>810</v>
      </c>
      <c r="C173" s="120" t="s">
        <v>84</v>
      </c>
      <c r="D173" s="133" t="s">
        <v>84</v>
      </c>
      <c r="E173" s="133" t="s">
        <v>84</v>
      </c>
      <c r="F173" s="104" t="s">
        <v>87</v>
      </c>
      <c r="G173" s="52"/>
      <c r="H173" s="53"/>
      <c r="I173" s="53"/>
    </row>
    <row r="174" spans="1:9" x14ac:dyDescent="0.25">
      <c r="A174" s="15">
        <f t="shared" si="2"/>
        <v>0.56597222222222221</v>
      </c>
      <c r="B174" s="17">
        <v>815</v>
      </c>
      <c r="C174" s="144" t="s">
        <v>84</v>
      </c>
      <c r="D174" s="121" t="s">
        <v>84</v>
      </c>
      <c r="E174" s="121" t="s">
        <v>84</v>
      </c>
      <c r="F174" s="135" t="s">
        <v>87</v>
      </c>
      <c r="G174" s="53"/>
      <c r="H174" s="53"/>
      <c r="I174" s="53"/>
    </row>
    <row r="175" spans="1:9" x14ac:dyDescent="0.25">
      <c r="A175" s="15">
        <f t="shared" si="2"/>
        <v>0.56944444444444442</v>
      </c>
      <c r="B175" s="17">
        <v>820</v>
      </c>
      <c r="C175" s="92" t="s">
        <v>84</v>
      </c>
      <c r="D175" s="122" t="s">
        <v>84</v>
      </c>
      <c r="E175" s="122" t="s">
        <v>84</v>
      </c>
      <c r="F175" s="107" t="s">
        <v>87</v>
      </c>
      <c r="G175" s="53"/>
      <c r="H175" s="53"/>
      <c r="I175" s="53"/>
    </row>
    <row r="176" spans="1:9" x14ac:dyDescent="0.25">
      <c r="A176" s="15">
        <f t="shared" si="2"/>
        <v>0.57291666666666663</v>
      </c>
      <c r="B176" s="17">
        <v>825</v>
      </c>
      <c r="C176" s="92" t="s">
        <v>84</v>
      </c>
      <c r="D176" s="122" t="s">
        <v>84</v>
      </c>
      <c r="E176" s="122" t="s">
        <v>84</v>
      </c>
      <c r="F176" s="107" t="s">
        <v>87</v>
      </c>
      <c r="G176" s="53"/>
      <c r="H176" s="53"/>
      <c r="I176" s="53"/>
    </row>
    <row r="177" spans="1:9" x14ac:dyDescent="0.25">
      <c r="A177" s="15">
        <f t="shared" si="2"/>
        <v>0.57638888888888895</v>
      </c>
      <c r="B177" s="17">
        <v>830</v>
      </c>
      <c r="C177" s="89" t="s">
        <v>84</v>
      </c>
      <c r="D177" s="134" t="s">
        <v>84</v>
      </c>
      <c r="E177" s="134" t="s">
        <v>84</v>
      </c>
      <c r="F177" s="107" t="s">
        <v>87</v>
      </c>
      <c r="G177" s="52"/>
      <c r="H177" s="53"/>
      <c r="I177" s="53"/>
    </row>
    <row r="178" spans="1:9" x14ac:dyDescent="0.25">
      <c r="A178" s="15">
        <f t="shared" si="2"/>
        <v>0.57986111111111105</v>
      </c>
      <c r="B178" s="17">
        <v>835</v>
      </c>
      <c r="C178" s="145" t="s">
        <v>84</v>
      </c>
      <c r="D178" s="124" t="s">
        <v>84</v>
      </c>
      <c r="E178" s="124" t="s">
        <v>84</v>
      </c>
      <c r="F178" s="136" t="s">
        <v>87</v>
      </c>
      <c r="G178" s="53"/>
      <c r="H178" s="53"/>
      <c r="I178" s="53"/>
    </row>
    <row r="179" spans="1:9" x14ac:dyDescent="0.25">
      <c r="A179" s="15">
        <f t="shared" si="2"/>
        <v>0.58333333333333337</v>
      </c>
      <c r="B179" s="17">
        <v>840</v>
      </c>
      <c r="C179" s="109" t="s">
        <v>88</v>
      </c>
      <c r="D179" s="133" t="s">
        <v>84</v>
      </c>
      <c r="E179" s="131" t="s">
        <v>88</v>
      </c>
      <c r="F179" s="119" t="s">
        <v>84</v>
      </c>
      <c r="G179" s="52"/>
      <c r="H179" s="53"/>
      <c r="I179" s="53"/>
    </row>
    <row r="180" spans="1:9" x14ac:dyDescent="0.25">
      <c r="A180" s="15">
        <f t="shared" si="2"/>
        <v>0.58680555555555558</v>
      </c>
      <c r="B180" s="17">
        <v>845</v>
      </c>
      <c r="C180" s="153" t="s">
        <v>88</v>
      </c>
      <c r="D180" s="121" t="s">
        <v>84</v>
      </c>
      <c r="E180" s="110" t="s">
        <v>88</v>
      </c>
      <c r="F180" s="121" t="s">
        <v>84</v>
      </c>
      <c r="G180" s="53"/>
      <c r="H180" s="53"/>
      <c r="I180" s="53"/>
    </row>
    <row r="181" spans="1:9" x14ac:dyDescent="0.25">
      <c r="A181" s="15">
        <f t="shared" si="2"/>
        <v>0.59027777777777779</v>
      </c>
      <c r="B181" s="17">
        <v>850</v>
      </c>
      <c r="C181" s="155" t="s">
        <v>88</v>
      </c>
      <c r="D181" s="122" t="s">
        <v>84</v>
      </c>
      <c r="E181" s="112" t="s">
        <v>88</v>
      </c>
      <c r="F181" s="122" t="s">
        <v>84</v>
      </c>
      <c r="G181" s="53"/>
      <c r="H181" s="53"/>
      <c r="I181" s="53"/>
    </row>
    <row r="182" spans="1:9" x14ac:dyDescent="0.25">
      <c r="A182" s="15">
        <f t="shared" si="2"/>
        <v>0.59375</v>
      </c>
      <c r="B182" s="17">
        <v>855</v>
      </c>
      <c r="C182" s="82" t="s">
        <v>88</v>
      </c>
      <c r="D182" s="118" t="s">
        <v>84</v>
      </c>
      <c r="E182" s="108" t="s">
        <v>88</v>
      </c>
      <c r="F182" s="91" t="s">
        <v>84</v>
      </c>
      <c r="G182" s="53"/>
      <c r="H182" s="53"/>
      <c r="I182" s="53"/>
    </row>
    <row r="183" spans="1:9" x14ac:dyDescent="0.25">
      <c r="A183" s="15">
        <f t="shared" si="2"/>
        <v>0.59722222222222221</v>
      </c>
      <c r="B183" s="17">
        <v>860</v>
      </c>
      <c r="C183" s="153" t="s">
        <v>88</v>
      </c>
      <c r="D183" s="122" t="s">
        <v>84</v>
      </c>
      <c r="E183" s="110" t="s">
        <v>88</v>
      </c>
      <c r="F183" s="122" t="s">
        <v>84</v>
      </c>
      <c r="G183" s="53"/>
      <c r="H183" s="53"/>
      <c r="I183" s="53"/>
    </row>
    <row r="184" spans="1:9" x14ac:dyDescent="0.25">
      <c r="A184" s="15">
        <f t="shared" si="2"/>
        <v>0.60069444444444442</v>
      </c>
      <c r="B184" s="17">
        <v>865</v>
      </c>
      <c r="C184" s="154" t="s">
        <v>88</v>
      </c>
      <c r="D184" s="123" t="s">
        <v>84</v>
      </c>
      <c r="E184" s="111" t="s">
        <v>88</v>
      </c>
      <c r="F184" s="123" t="s">
        <v>84</v>
      </c>
      <c r="G184" s="53"/>
      <c r="H184" s="53"/>
      <c r="I184" s="53"/>
    </row>
    <row r="185" spans="1:9" x14ac:dyDescent="0.25">
      <c r="A185" s="15">
        <f t="shared" si="2"/>
        <v>0.60416666666666663</v>
      </c>
      <c r="B185" s="17">
        <v>870</v>
      </c>
      <c r="C185" s="17"/>
      <c r="D185" s="54"/>
      <c r="E185" s="54"/>
      <c r="F185" s="53"/>
      <c r="G185" s="52"/>
      <c r="H185" s="53"/>
      <c r="I185" s="53"/>
    </row>
    <row r="186" spans="1:9" x14ac:dyDescent="0.25">
      <c r="A186" s="15">
        <f t="shared" si="2"/>
        <v>0.60763888888888895</v>
      </c>
      <c r="B186" s="17">
        <v>875</v>
      </c>
      <c r="C186" s="68"/>
      <c r="D186" s="53"/>
      <c r="E186" s="53"/>
      <c r="F186" s="53"/>
      <c r="G186" s="53"/>
      <c r="H186" s="53"/>
      <c r="I186" s="53"/>
    </row>
    <row r="187" spans="1:9" x14ac:dyDescent="0.25">
      <c r="A187" s="15">
        <f t="shared" si="2"/>
        <v>0.61111111111111105</v>
      </c>
      <c r="B187" s="17">
        <v>880</v>
      </c>
      <c r="C187" s="68"/>
      <c r="D187" s="53"/>
      <c r="E187" s="53"/>
      <c r="F187" s="53"/>
      <c r="G187" s="53"/>
      <c r="H187" s="53"/>
      <c r="I187" s="53"/>
    </row>
    <row r="188" spans="1:9" x14ac:dyDescent="0.25">
      <c r="A188" s="15">
        <f t="shared" si="2"/>
        <v>0.61458333333333337</v>
      </c>
      <c r="B188" s="17">
        <v>885</v>
      </c>
      <c r="C188" s="68"/>
      <c r="D188" s="53"/>
      <c r="E188" s="53"/>
      <c r="F188" s="53"/>
      <c r="G188" s="53"/>
      <c r="H188" s="53"/>
      <c r="I188" s="53"/>
    </row>
    <row r="189" spans="1:9" x14ac:dyDescent="0.25">
      <c r="A189" s="15">
        <f t="shared" si="2"/>
        <v>0.61805555555555558</v>
      </c>
      <c r="B189" s="17">
        <v>890</v>
      </c>
      <c r="C189" s="68"/>
      <c r="D189" s="53"/>
      <c r="E189" s="53"/>
      <c r="F189" s="53"/>
      <c r="G189" s="53"/>
      <c r="H189" s="53"/>
      <c r="I189" s="53"/>
    </row>
    <row r="190" spans="1:9" x14ac:dyDescent="0.25">
      <c r="A190" s="15">
        <f t="shared" si="2"/>
        <v>0.62152777777777779</v>
      </c>
      <c r="B190" s="17">
        <v>895</v>
      </c>
      <c r="C190" s="68"/>
      <c r="D190" s="53"/>
      <c r="E190" s="53"/>
      <c r="F190" s="53"/>
      <c r="G190" s="53"/>
      <c r="H190" s="53"/>
      <c r="I190" s="53"/>
    </row>
    <row r="191" spans="1:9" x14ac:dyDescent="0.25">
      <c r="A191" s="15">
        <f t="shared" si="2"/>
        <v>0.625</v>
      </c>
      <c r="B191" s="17">
        <v>900</v>
      </c>
      <c r="C191" s="17"/>
      <c r="D191" s="54"/>
      <c r="E191" s="54"/>
      <c r="F191" s="53"/>
      <c r="G191" s="52"/>
      <c r="H191" s="53"/>
      <c r="I191" s="53"/>
    </row>
    <row r="192" spans="1:9" x14ac:dyDescent="0.25">
      <c r="A192" s="15">
        <f t="shared" si="2"/>
        <v>0.62847222222222221</v>
      </c>
      <c r="B192" s="17">
        <v>905</v>
      </c>
      <c r="C192" s="68"/>
      <c r="D192" s="53"/>
      <c r="E192" s="53"/>
      <c r="F192" s="53"/>
      <c r="G192" s="53"/>
      <c r="H192" s="53"/>
      <c r="I192" s="53"/>
    </row>
    <row r="193" spans="1:9" x14ac:dyDescent="0.25">
      <c r="A193" s="15">
        <f t="shared" si="2"/>
        <v>0.63194444444444442</v>
      </c>
      <c r="B193" s="17">
        <v>910</v>
      </c>
      <c r="C193" s="68"/>
      <c r="D193" s="53"/>
      <c r="E193" s="53"/>
      <c r="F193" s="53"/>
      <c r="G193" s="53"/>
      <c r="H193" s="53"/>
      <c r="I193" s="53"/>
    </row>
    <row r="194" spans="1:9" x14ac:dyDescent="0.25">
      <c r="A194" s="15">
        <f t="shared" si="2"/>
        <v>0.63541666666666663</v>
      </c>
      <c r="B194" s="17">
        <v>915</v>
      </c>
      <c r="C194" s="17"/>
      <c r="D194" s="54"/>
      <c r="E194" s="54"/>
      <c r="F194" s="53"/>
      <c r="G194" s="52"/>
      <c r="H194" s="53"/>
      <c r="I194" s="53"/>
    </row>
    <row r="195" spans="1:9" x14ac:dyDescent="0.25">
      <c r="A195" s="15">
        <f t="shared" si="2"/>
        <v>0.63888888888888895</v>
      </c>
      <c r="B195" s="17">
        <v>920</v>
      </c>
      <c r="C195" s="17"/>
      <c r="D195" s="54"/>
      <c r="E195" s="54"/>
      <c r="F195" s="53"/>
      <c r="G195" s="52"/>
      <c r="H195" s="53"/>
      <c r="I195" s="53"/>
    </row>
    <row r="196" spans="1:9" x14ac:dyDescent="0.25">
      <c r="A196" s="15">
        <f t="shared" si="2"/>
        <v>0.64236111111111105</v>
      </c>
      <c r="B196" s="17">
        <v>925</v>
      </c>
      <c r="C196" s="17"/>
      <c r="D196" s="54"/>
      <c r="E196" s="54"/>
      <c r="F196" s="53"/>
      <c r="G196" s="52"/>
      <c r="H196" s="53"/>
      <c r="I196" s="53"/>
    </row>
    <row r="197" spans="1:9" hidden="1" x14ac:dyDescent="0.25">
      <c r="A197" s="15">
        <f t="shared" si="2"/>
        <v>0.64583333333333337</v>
      </c>
      <c r="B197" s="17">
        <v>930</v>
      </c>
      <c r="C197" s="17"/>
      <c r="D197" s="54"/>
      <c r="E197" s="54"/>
      <c r="F197" s="53"/>
      <c r="G197" s="52"/>
      <c r="H197" s="53"/>
      <c r="I197" s="53"/>
    </row>
    <row r="198" spans="1:9" hidden="1" x14ac:dyDescent="0.25">
      <c r="A198" s="15">
        <f t="shared" si="2"/>
        <v>0.64930555555555558</v>
      </c>
      <c r="B198" s="17">
        <v>935</v>
      </c>
      <c r="C198" s="17"/>
      <c r="D198" s="54"/>
      <c r="E198" s="54"/>
      <c r="F198" s="53"/>
      <c r="G198" s="52"/>
      <c r="H198" s="53"/>
      <c r="I198" s="53"/>
    </row>
    <row r="199" spans="1:9" hidden="1" x14ac:dyDescent="0.25">
      <c r="A199" s="15">
        <f t="shared" si="2"/>
        <v>0.65277777777777779</v>
      </c>
      <c r="B199" s="17">
        <v>940</v>
      </c>
      <c r="C199" s="17"/>
      <c r="D199" s="54"/>
      <c r="E199" s="54"/>
      <c r="F199" s="53"/>
      <c r="G199" s="52"/>
      <c r="H199" s="53"/>
      <c r="I199" s="53"/>
    </row>
    <row r="200" spans="1:9" hidden="1" x14ac:dyDescent="0.25">
      <c r="A200" s="15">
        <f t="shared" si="2"/>
        <v>0.65625</v>
      </c>
      <c r="B200" s="17">
        <v>945</v>
      </c>
      <c r="C200" s="17"/>
      <c r="D200" s="54"/>
      <c r="E200" s="54"/>
      <c r="F200" s="53"/>
      <c r="G200" s="52"/>
      <c r="H200" s="53"/>
      <c r="I200" s="53"/>
    </row>
    <row r="201" spans="1:9" hidden="1" x14ac:dyDescent="0.25">
      <c r="A201" s="15">
        <f t="shared" si="2"/>
        <v>0.65972222222222221</v>
      </c>
      <c r="B201" s="17">
        <v>950</v>
      </c>
      <c r="C201" s="17"/>
      <c r="D201" s="54"/>
      <c r="E201" s="54"/>
      <c r="F201" s="53"/>
      <c r="G201" s="52"/>
      <c r="H201" s="53"/>
      <c r="I201" s="53"/>
    </row>
    <row r="202" spans="1:9" hidden="1" x14ac:dyDescent="0.25">
      <c r="A202" s="15">
        <f t="shared" si="2"/>
        <v>0.66319444444444442</v>
      </c>
      <c r="B202" s="17">
        <v>955</v>
      </c>
      <c r="C202" s="17"/>
      <c r="D202" s="54"/>
      <c r="E202" s="54"/>
      <c r="F202" s="53"/>
      <c r="G202" s="52"/>
      <c r="H202" s="53"/>
      <c r="I202" s="53"/>
    </row>
    <row r="203" spans="1:9" hidden="1" x14ac:dyDescent="0.25">
      <c r="A203" s="15">
        <f t="shared" si="2"/>
        <v>0.66666666666666663</v>
      </c>
      <c r="B203" s="17">
        <v>960</v>
      </c>
      <c r="C203" s="17"/>
      <c r="D203" s="54"/>
      <c r="E203" s="54"/>
      <c r="F203" s="53"/>
      <c r="G203" s="52"/>
      <c r="H203" s="53"/>
      <c r="I203" s="53"/>
    </row>
    <row r="204" spans="1:9" hidden="1" x14ac:dyDescent="0.25">
      <c r="A204" s="15">
        <f t="shared" ref="A204:A267" si="3">TIME(,B204,)</f>
        <v>0.67013888888888884</v>
      </c>
      <c r="B204" s="17">
        <v>965</v>
      </c>
      <c r="C204" s="68"/>
      <c r="D204" s="53"/>
      <c r="E204" s="53"/>
      <c r="F204" s="53"/>
      <c r="G204" s="53"/>
      <c r="H204" s="53"/>
      <c r="I204" s="53"/>
    </row>
    <row r="205" spans="1:9" hidden="1" x14ac:dyDescent="0.25">
      <c r="A205" s="15">
        <f t="shared" si="3"/>
        <v>0.67361111111111116</v>
      </c>
      <c r="B205" s="17">
        <v>970</v>
      </c>
      <c r="C205" s="68"/>
      <c r="D205" s="53"/>
      <c r="E205" s="53"/>
      <c r="F205" s="53"/>
      <c r="G205" s="53"/>
      <c r="H205" s="53"/>
      <c r="I205" s="53"/>
    </row>
    <row r="206" spans="1:9" hidden="1" x14ac:dyDescent="0.25">
      <c r="A206" s="15">
        <f t="shared" si="3"/>
        <v>0.67708333333333337</v>
      </c>
      <c r="B206" s="17">
        <v>975</v>
      </c>
      <c r="C206" s="17"/>
      <c r="D206" s="53"/>
      <c r="E206" s="52"/>
      <c r="F206" s="53"/>
      <c r="G206" s="53"/>
      <c r="H206" s="53"/>
      <c r="I206" s="53"/>
    </row>
    <row r="207" spans="1:9" hidden="1" x14ac:dyDescent="0.25">
      <c r="A207" s="15">
        <f t="shared" si="3"/>
        <v>0.68055555555555547</v>
      </c>
      <c r="B207" s="17">
        <v>980</v>
      </c>
      <c r="C207" s="68"/>
      <c r="D207" s="53"/>
      <c r="E207" s="53"/>
      <c r="F207" s="53"/>
      <c r="G207" s="53"/>
      <c r="H207" s="53"/>
      <c r="I207" s="53"/>
    </row>
    <row r="208" spans="1:9" hidden="1" x14ac:dyDescent="0.25">
      <c r="A208" s="15">
        <f t="shared" si="3"/>
        <v>0.68402777777777779</v>
      </c>
      <c r="B208" s="17">
        <v>985</v>
      </c>
      <c r="C208" s="68"/>
      <c r="D208" s="53"/>
      <c r="E208" s="53"/>
      <c r="F208" s="53"/>
      <c r="G208" s="53"/>
      <c r="H208" s="53"/>
      <c r="I208" s="53"/>
    </row>
    <row r="209" spans="1:9" hidden="1" x14ac:dyDescent="0.25">
      <c r="A209" s="15">
        <f t="shared" si="3"/>
        <v>0.6875</v>
      </c>
      <c r="B209" s="17">
        <v>990</v>
      </c>
      <c r="C209" s="17"/>
      <c r="D209" s="53"/>
      <c r="E209" s="52"/>
      <c r="F209" s="53"/>
      <c r="G209" s="53"/>
      <c r="H209" s="53"/>
      <c r="I209" s="53"/>
    </row>
    <row r="210" spans="1:9" hidden="1" x14ac:dyDescent="0.25">
      <c r="A210" s="15">
        <f t="shared" si="3"/>
        <v>0.69097222222222221</v>
      </c>
      <c r="B210" s="17">
        <v>995</v>
      </c>
      <c r="C210" s="68"/>
      <c r="D210" s="53"/>
      <c r="E210" s="53"/>
      <c r="F210" s="53"/>
      <c r="G210" s="53"/>
      <c r="H210" s="53"/>
      <c r="I210" s="53"/>
    </row>
    <row r="211" spans="1:9" hidden="1" x14ac:dyDescent="0.25">
      <c r="A211" s="15">
        <f t="shared" si="3"/>
        <v>0.69444444444444453</v>
      </c>
      <c r="B211" s="17">
        <v>1000</v>
      </c>
      <c r="C211" s="68"/>
      <c r="D211" s="53"/>
      <c r="E211" s="53"/>
      <c r="F211" s="53"/>
      <c r="G211" s="53"/>
      <c r="H211" s="53"/>
      <c r="I211" s="53"/>
    </row>
    <row r="212" spans="1:9" hidden="1" x14ac:dyDescent="0.25">
      <c r="A212" s="15">
        <f t="shared" si="3"/>
        <v>0.69791666666666663</v>
      </c>
      <c r="B212" s="17">
        <v>1005</v>
      </c>
      <c r="C212" s="68"/>
      <c r="D212" s="53"/>
      <c r="E212" s="53"/>
      <c r="F212" s="53"/>
      <c r="G212" s="53"/>
      <c r="H212" s="53"/>
      <c r="I212" s="53"/>
    </row>
    <row r="213" spans="1:9" hidden="1" x14ac:dyDescent="0.25">
      <c r="A213" s="15">
        <f t="shared" si="3"/>
        <v>0.70138888888888884</v>
      </c>
      <c r="B213" s="17">
        <v>1010</v>
      </c>
      <c r="C213" s="68"/>
      <c r="D213" s="53"/>
      <c r="E213" s="53"/>
      <c r="F213" s="53"/>
      <c r="G213" s="53"/>
      <c r="H213" s="53"/>
      <c r="I213" s="53"/>
    </row>
    <row r="214" spans="1:9" hidden="1" x14ac:dyDescent="0.25">
      <c r="A214" s="15">
        <f t="shared" si="3"/>
        <v>0.70486111111111116</v>
      </c>
      <c r="B214" s="17">
        <v>1015</v>
      </c>
      <c r="C214" s="68"/>
      <c r="D214" s="53"/>
      <c r="E214" s="53"/>
      <c r="F214" s="53"/>
      <c r="G214" s="53"/>
      <c r="H214" s="53"/>
      <c r="I214" s="53"/>
    </row>
    <row r="215" spans="1:9" hidden="1" x14ac:dyDescent="0.25">
      <c r="A215" s="15">
        <f t="shared" si="3"/>
        <v>0.70833333333333337</v>
      </c>
      <c r="B215" s="16">
        <v>1020</v>
      </c>
      <c r="C215" s="55"/>
      <c r="D215" s="53"/>
      <c r="E215" s="52"/>
      <c r="F215" s="53"/>
      <c r="G215" s="53"/>
      <c r="H215" s="53"/>
      <c r="I215" s="53"/>
    </row>
    <row r="216" spans="1:9" hidden="1" x14ac:dyDescent="0.25">
      <c r="A216" s="15">
        <f t="shared" si="3"/>
        <v>0.71180555555555547</v>
      </c>
      <c r="B216" s="16">
        <v>1025</v>
      </c>
      <c r="C216" s="52"/>
      <c r="D216" s="53"/>
      <c r="E216" s="53"/>
      <c r="F216" s="53"/>
      <c r="G216" s="53"/>
      <c r="H216" s="53"/>
      <c r="I216" s="53"/>
    </row>
    <row r="217" spans="1:9" hidden="1" x14ac:dyDescent="0.25">
      <c r="A217" s="15">
        <f t="shared" si="3"/>
        <v>0.71527777777777779</v>
      </c>
      <c r="B217" s="16">
        <v>1030</v>
      </c>
      <c r="C217" s="52"/>
      <c r="D217" s="53"/>
      <c r="E217" s="53"/>
      <c r="F217" s="53"/>
      <c r="G217" s="53"/>
      <c r="H217" s="53"/>
      <c r="I217" s="53"/>
    </row>
    <row r="218" spans="1:9" hidden="1" x14ac:dyDescent="0.25">
      <c r="A218" s="15">
        <f t="shared" si="3"/>
        <v>0.71875</v>
      </c>
      <c r="B218" s="16">
        <v>1035</v>
      </c>
      <c r="C218" s="52"/>
      <c r="D218" s="53"/>
      <c r="E218" s="53"/>
      <c r="F218" s="53"/>
      <c r="G218" s="53"/>
      <c r="H218" s="53"/>
      <c r="I218" s="53"/>
    </row>
    <row r="219" spans="1:9" hidden="1" x14ac:dyDescent="0.25">
      <c r="A219" s="15">
        <f t="shared" si="3"/>
        <v>0.72222222222222221</v>
      </c>
      <c r="B219" s="16">
        <v>1040</v>
      </c>
      <c r="C219" s="52"/>
      <c r="D219" s="53"/>
      <c r="E219" s="53"/>
      <c r="F219" s="53"/>
      <c r="G219" s="53"/>
      <c r="H219" s="53"/>
      <c r="I219" s="53"/>
    </row>
    <row r="220" spans="1:9" hidden="1" x14ac:dyDescent="0.25">
      <c r="A220" s="15">
        <f t="shared" si="3"/>
        <v>0.72569444444444453</v>
      </c>
      <c r="B220" s="16">
        <v>1045</v>
      </c>
      <c r="C220" s="52"/>
      <c r="D220" s="53"/>
      <c r="E220" s="53"/>
      <c r="F220" s="53"/>
      <c r="G220" s="53"/>
      <c r="H220" s="53"/>
      <c r="I220" s="53"/>
    </row>
    <row r="221" spans="1:9" hidden="1" x14ac:dyDescent="0.25">
      <c r="A221" s="15">
        <f t="shared" si="3"/>
        <v>0.72916666666666663</v>
      </c>
      <c r="B221" s="16">
        <v>1050</v>
      </c>
      <c r="C221" s="55"/>
      <c r="D221" s="53"/>
      <c r="E221" s="52"/>
      <c r="F221" s="53"/>
      <c r="G221" s="53"/>
      <c r="H221" s="53"/>
      <c r="I221" s="53"/>
    </row>
    <row r="222" spans="1:9" hidden="1" x14ac:dyDescent="0.25">
      <c r="A222" s="15">
        <f t="shared" si="3"/>
        <v>0.73263888888888884</v>
      </c>
      <c r="B222" s="16">
        <v>1055</v>
      </c>
      <c r="C222" s="52"/>
      <c r="D222" s="53"/>
      <c r="E222" s="53"/>
      <c r="F222" s="53"/>
      <c r="G222" s="53"/>
      <c r="H222" s="53"/>
      <c r="I222" s="53"/>
    </row>
    <row r="223" spans="1:9" hidden="1" x14ac:dyDescent="0.25">
      <c r="A223" s="15">
        <f t="shared" si="3"/>
        <v>0.73611111111111116</v>
      </c>
      <c r="B223" s="16">
        <v>1060</v>
      </c>
      <c r="C223" s="52"/>
      <c r="D223" s="53"/>
      <c r="E223" s="53"/>
      <c r="F223" s="53"/>
      <c r="G223" s="53"/>
      <c r="H223" s="53"/>
      <c r="I223" s="53"/>
    </row>
    <row r="224" spans="1:9" hidden="1" x14ac:dyDescent="0.25">
      <c r="A224" s="15">
        <f t="shared" si="3"/>
        <v>0.73958333333333337</v>
      </c>
      <c r="B224" s="16">
        <v>1065</v>
      </c>
      <c r="C224" s="52"/>
      <c r="D224" s="53"/>
      <c r="E224" s="53"/>
      <c r="F224" s="53"/>
      <c r="G224" s="53"/>
      <c r="H224" s="53"/>
      <c r="I224" s="53"/>
    </row>
    <row r="225" spans="1:9" hidden="1" x14ac:dyDescent="0.25">
      <c r="A225" s="15">
        <f t="shared" si="3"/>
        <v>0.74305555555555547</v>
      </c>
      <c r="B225" s="16">
        <v>1070</v>
      </c>
      <c r="C225" s="52"/>
      <c r="D225" s="53"/>
      <c r="E225" s="53"/>
      <c r="F225" s="53"/>
      <c r="G225" s="53"/>
      <c r="H225" s="53"/>
      <c r="I225" s="53"/>
    </row>
    <row r="226" spans="1:9" hidden="1" x14ac:dyDescent="0.25">
      <c r="A226" s="15">
        <f t="shared" si="3"/>
        <v>0.74652777777777779</v>
      </c>
      <c r="B226" s="16">
        <v>1075</v>
      </c>
      <c r="C226" s="52"/>
      <c r="D226" s="53"/>
      <c r="E226" s="53"/>
      <c r="F226" s="53"/>
      <c r="G226" s="53"/>
      <c r="H226" s="53"/>
      <c r="I226" s="53"/>
    </row>
    <row r="227" spans="1:9" hidden="1" x14ac:dyDescent="0.25">
      <c r="A227" s="15">
        <f t="shared" si="3"/>
        <v>0.75</v>
      </c>
      <c r="B227" s="16">
        <v>1080</v>
      </c>
      <c r="C227" s="52"/>
      <c r="D227" s="53"/>
      <c r="E227" s="53"/>
      <c r="F227" s="53"/>
      <c r="G227" s="53"/>
      <c r="H227" s="53"/>
      <c r="I227" s="53"/>
    </row>
    <row r="228" spans="1:9" hidden="1" x14ac:dyDescent="0.25">
      <c r="A228" s="15">
        <f t="shared" si="3"/>
        <v>0.75347222222222221</v>
      </c>
      <c r="B228" s="16">
        <v>1085</v>
      </c>
      <c r="C228" s="52"/>
      <c r="D228" s="53"/>
      <c r="E228" s="53"/>
      <c r="F228" s="53"/>
      <c r="G228" s="53"/>
      <c r="H228" s="53"/>
      <c r="I228" s="53"/>
    </row>
    <row r="229" spans="1:9" hidden="1" x14ac:dyDescent="0.25">
      <c r="A229" s="15">
        <f t="shared" si="3"/>
        <v>0.75694444444444453</v>
      </c>
      <c r="B229" s="16">
        <v>1090</v>
      </c>
      <c r="C229" s="52"/>
      <c r="D229" s="53"/>
      <c r="E229" s="53"/>
      <c r="F229" s="53"/>
      <c r="G229" s="53"/>
      <c r="H229" s="53"/>
      <c r="I229" s="53"/>
    </row>
    <row r="230" spans="1:9" hidden="1" x14ac:dyDescent="0.25">
      <c r="A230" s="15">
        <f t="shared" si="3"/>
        <v>0.76041666666666663</v>
      </c>
      <c r="B230" s="16">
        <v>1095</v>
      </c>
      <c r="C230" s="52"/>
      <c r="D230" s="53"/>
      <c r="E230" s="53"/>
      <c r="F230" s="53"/>
      <c r="G230" s="53"/>
      <c r="H230" s="53"/>
      <c r="I230" s="53"/>
    </row>
    <row r="231" spans="1:9" hidden="1" x14ac:dyDescent="0.25">
      <c r="A231" s="15">
        <f t="shared" si="3"/>
        <v>0.76388888888888884</v>
      </c>
      <c r="B231" s="16">
        <v>1100</v>
      </c>
      <c r="C231" s="52"/>
      <c r="D231" s="53"/>
      <c r="E231" s="53"/>
      <c r="F231" s="53"/>
      <c r="G231" s="53"/>
      <c r="H231" s="53"/>
      <c r="I231" s="53"/>
    </row>
    <row r="232" spans="1:9" hidden="1" x14ac:dyDescent="0.25">
      <c r="A232" s="15">
        <f t="shared" si="3"/>
        <v>0.76736111111111116</v>
      </c>
      <c r="B232" s="16">
        <v>1105</v>
      </c>
      <c r="C232" s="52"/>
      <c r="D232" s="53"/>
      <c r="E232" s="53"/>
      <c r="F232" s="53"/>
      <c r="G232" s="53"/>
      <c r="H232" s="53"/>
      <c r="I232" s="53"/>
    </row>
    <row r="233" spans="1:9" hidden="1" x14ac:dyDescent="0.25">
      <c r="A233" s="15">
        <f t="shared" si="3"/>
        <v>0.77083333333333337</v>
      </c>
      <c r="B233" s="16">
        <v>1110</v>
      </c>
      <c r="C233" s="52"/>
      <c r="D233" s="53"/>
      <c r="E233" s="53"/>
      <c r="F233" s="53"/>
      <c r="G233" s="53"/>
      <c r="H233" s="53"/>
      <c r="I233" s="53"/>
    </row>
    <row r="234" spans="1:9" hidden="1" x14ac:dyDescent="0.25">
      <c r="A234" s="15">
        <f t="shared" si="3"/>
        <v>0.77430555555555547</v>
      </c>
      <c r="B234" s="16">
        <v>1115</v>
      </c>
      <c r="C234" s="52"/>
      <c r="D234" s="53"/>
      <c r="E234" s="53"/>
      <c r="F234" s="53"/>
      <c r="G234" s="53"/>
      <c r="H234" s="53"/>
      <c r="I234" s="53"/>
    </row>
    <row r="235" spans="1:9" hidden="1" x14ac:dyDescent="0.25">
      <c r="A235" s="15">
        <f t="shared" si="3"/>
        <v>0.77777777777777779</v>
      </c>
      <c r="B235" s="16">
        <v>1120</v>
      </c>
      <c r="C235" s="52"/>
      <c r="D235" s="53"/>
      <c r="E235" s="53"/>
      <c r="F235" s="53"/>
      <c r="G235" s="53"/>
      <c r="H235" s="53"/>
      <c r="I235" s="53"/>
    </row>
    <row r="236" spans="1:9" hidden="1" x14ac:dyDescent="0.25">
      <c r="A236" s="15">
        <f t="shared" si="3"/>
        <v>0.78125</v>
      </c>
      <c r="B236" s="16">
        <v>1125</v>
      </c>
      <c r="C236" s="52"/>
      <c r="D236" s="53"/>
      <c r="E236" s="53"/>
      <c r="F236" s="53"/>
      <c r="G236" s="53"/>
      <c r="H236" s="53"/>
      <c r="I236" s="53"/>
    </row>
    <row r="237" spans="1:9" hidden="1" x14ac:dyDescent="0.25">
      <c r="A237" s="15">
        <f t="shared" si="3"/>
        <v>0.78472222222222221</v>
      </c>
      <c r="B237" s="16">
        <v>1130</v>
      </c>
      <c r="C237" s="52"/>
      <c r="D237" s="53"/>
      <c r="E237" s="53"/>
      <c r="F237" s="53"/>
      <c r="G237" s="53"/>
      <c r="H237" s="53"/>
      <c r="I237" s="53"/>
    </row>
    <row r="238" spans="1:9" hidden="1" x14ac:dyDescent="0.25">
      <c r="A238" s="15">
        <f t="shared" si="3"/>
        <v>0.78819444444444453</v>
      </c>
      <c r="B238" s="16">
        <v>1135</v>
      </c>
      <c r="C238" s="52"/>
      <c r="D238" s="53"/>
      <c r="E238" s="53"/>
      <c r="F238" s="53"/>
      <c r="G238" s="53"/>
      <c r="H238" s="53"/>
      <c r="I238" s="53"/>
    </row>
    <row r="239" spans="1:9" hidden="1" x14ac:dyDescent="0.25">
      <c r="A239" s="15">
        <f t="shared" si="3"/>
        <v>0.79166666666666663</v>
      </c>
      <c r="B239" s="16">
        <v>1140</v>
      </c>
      <c r="C239" s="52"/>
      <c r="D239" s="53"/>
      <c r="E239" s="53"/>
      <c r="F239" s="53"/>
      <c r="G239" s="53"/>
      <c r="H239" s="53"/>
      <c r="I239" s="53"/>
    </row>
    <row r="240" spans="1:9" hidden="1" x14ac:dyDescent="0.25">
      <c r="A240" s="15">
        <f t="shared" si="3"/>
        <v>0.79513888888888884</v>
      </c>
      <c r="B240" s="16">
        <v>1145</v>
      </c>
      <c r="C240" s="52"/>
      <c r="D240" s="53"/>
      <c r="E240" s="53"/>
      <c r="F240" s="53"/>
      <c r="G240" s="53"/>
      <c r="H240" s="53"/>
      <c r="I240" s="54"/>
    </row>
    <row r="241" spans="1:9" hidden="1" x14ac:dyDescent="0.25">
      <c r="A241" s="15">
        <f t="shared" si="3"/>
        <v>0.79861111111111116</v>
      </c>
      <c r="B241" s="16">
        <v>1150</v>
      </c>
      <c r="C241" s="52"/>
      <c r="D241" s="53"/>
      <c r="E241" s="53"/>
      <c r="F241" s="53"/>
      <c r="G241" s="53"/>
      <c r="H241" s="53"/>
      <c r="I241" s="54"/>
    </row>
    <row r="242" spans="1:9" hidden="1" x14ac:dyDescent="0.25">
      <c r="A242" s="15">
        <f t="shared" si="3"/>
        <v>0.80208333333333337</v>
      </c>
      <c r="B242" s="16">
        <v>1155</v>
      </c>
      <c r="C242" s="52"/>
      <c r="D242" s="53"/>
      <c r="E242" s="53"/>
      <c r="F242" s="53"/>
      <c r="G242" s="53"/>
      <c r="H242" s="53"/>
      <c r="I242" s="54"/>
    </row>
    <row r="243" spans="1:9" hidden="1" x14ac:dyDescent="0.25">
      <c r="A243" s="15">
        <f t="shared" si="3"/>
        <v>0.80555555555555547</v>
      </c>
      <c r="B243" s="16">
        <v>1160</v>
      </c>
      <c r="C243" s="52"/>
      <c r="D243" s="53"/>
      <c r="E243" s="53"/>
      <c r="F243" s="53"/>
      <c r="G243" s="53"/>
      <c r="H243" s="53"/>
      <c r="I243" s="54"/>
    </row>
    <row r="244" spans="1:9" hidden="1" x14ac:dyDescent="0.25">
      <c r="A244" s="15">
        <f t="shared" si="3"/>
        <v>0.80902777777777779</v>
      </c>
      <c r="B244" s="16">
        <v>1165</v>
      </c>
      <c r="C244" s="52"/>
      <c r="D244" s="53"/>
      <c r="E244" s="53"/>
      <c r="F244" s="53"/>
      <c r="G244" s="53"/>
      <c r="H244" s="53"/>
      <c r="I244" s="54"/>
    </row>
    <row r="245" spans="1:9" hidden="1" x14ac:dyDescent="0.25">
      <c r="A245" s="15">
        <f t="shared" si="3"/>
        <v>0.8125</v>
      </c>
      <c r="B245" s="16">
        <v>1170</v>
      </c>
      <c r="C245" s="52"/>
      <c r="D245" s="53"/>
      <c r="E245" s="53"/>
      <c r="F245" s="53"/>
      <c r="G245" s="53"/>
      <c r="H245" s="53"/>
      <c r="I245" s="54"/>
    </row>
    <row r="246" spans="1:9" hidden="1" x14ac:dyDescent="0.25">
      <c r="A246" s="15">
        <f t="shared" si="3"/>
        <v>0.81597222222222221</v>
      </c>
      <c r="B246" s="16">
        <v>1175</v>
      </c>
      <c r="C246" s="52"/>
      <c r="D246" s="53"/>
      <c r="E246" s="53"/>
      <c r="F246" s="53"/>
      <c r="G246" s="53"/>
      <c r="H246" s="53"/>
      <c r="I246" s="54"/>
    </row>
    <row r="247" spans="1:9" hidden="1" x14ac:dyDescent="0.25">
      <c r="A247" s="15">
        <f t="shared" si="3"/>
        <v>0.81944444444444453</v>
      </c>
      <c r="B247" s="16">
        <v>1180</v>
      </c>
      <c r="C247" s="52"/>
      <c r="D247" s="53"/>
      <c r="E247" s="53"/>
      <c r="F247" s="53"/>
      <c r="G247" s="53"/>
      <c r="H247" s="53"/>
      <c r="I247" s="54"/>
    </row>
    <row r="248" spans="1:9" hidden="1" x14ac:dyDescent="0.25">
      <c r="A248" s="15">
        <f t="shared" si="3"/>
        <v>0.82291666666666663</v>
      </c>
      <c r="B248" s="16">
        <v>1185</v>
      </c>
      <c r="C248" s="52"/>
      <c r="D248" s="53"/>
      <c r="E248" s="53"/>
      <c r="F248" s="53"/>
      <c r="G248" s="53"/>
      <c r="H248" s="53"/>
      <c r="I248" s="54"/>
    </row>
    <row r="249" spans="1:9" hidden="1" x14ac:dyDescent="0.25">
      <c r="A249" s="15">
        <f t="shared" si="3"/>
        <v>0.82638888888888884</v>
      </c>
      <c r="B249" s="16">
        <v>1190</v>
      </c>
      <c r="C249" s="52"/>
      <c r="D249" s="53"/>
      <c r="E249" s="53"/>
      <c r="F249" s="53"/>
      <c r="G249" s="53"/>
      <c r="H249" s="53"/>
      <c r="I249" s="54"/>
    </row>
    <row r="250" spans="1:9" hidden="1" x14ac:dyDescent="0.25">
      <c r="A250" s="15">
        <f t="shared" si="3"/>
        <v>0.82986111111111116</v>
      </c>
      <c r="B250" s="16">
        <v>1195</v>
      </c>
      <c r="C250" s="52"/>
      <c r="D250" s="53"/>
      <c r="E250" s="53"/>
      <c r="F250" s="53"/>
      <c r="G250" s="53"/>
      <c r="H250" s="53"/>
      <c r="I250" s="54"/>
    </row>
    <row r="251" spans="1:9" hidden="1" x14ac:dyDescent="0.25">
      <c r="A251" s="15">
        <f t="shared" si="3"/>
        <v>0.83333333333333337</v>
      </c>
      <c r="B251" s="16">
        <v>1200</v>
      </c>
      <c r="C251" s="52"/>
      <c r="D251" s="53"/>
      <c r="E251" s="53"/>
      <c r="F251" s="53"/>
      <c r="G251" s="53"/>
      <c r="H251" s="53"/>
      <c r="I251" s="54"/>
    </row>
    <row r="252" spans="1:9" hidden="1" x14ac:dyDescent="0.25">
      <c r="A252" s="15">
        <f t="shared" si="3"/>
        <v>0.83680555555555547</v>
      </c>
      <c r="B252" s="16">
        <v>1205</v>
      </c>
      <c r="C252" s="52"/>
      <c r="D252" s="53"/>
      <c r="E252" s="53"/>
      <c r="F252" s="53"/>
      <c r="G252" s="53"/>
      <c r="H252" s="53"/>
      <c r="I252" s="54"/>
    </row>
    <row r="253" spans="1:9" hidden="1" x14ac:dyDescent="0.25">
      <c r="A253" s="15">
        <f t="shared" si="3"/>
        <v>0.84027777777777779</v>
      </c>
      <c r="B253" s="16">
        <v>1210</v>
      </c>
      <c r="C253" s="52"/>
      <c r="D253" s="53"/>
      <c r="E253" s="53"/>
      <c r="F253" s="53"/>
      <c r="G253" s="53"/>
      <c r="H253" s="53"/>
      <c r="I253" s="54"/>
    </row>
    <row r="254" spans="1:9" hidden="1" x14ac:dyDescent="0.25">
      <c r="A254" s="15">
        <f t="shared" si="3"/>
        <v>0.84375</v>
      </c>
      <c r="B254" s="16">
        <v>1215</v>
      </c>
      <c r="C254" s="52"/>
      <c r="D254" s="53"/>
      <c r="E254" s="53"/>
      <c r="F254" s="53"/>
      <c r="G254" s="53"/>
      <c r="H254" s="53"/>
      <c r="I254" s="54"/>
    </row>
    <row r="255" spans="1:9" hidden="1" x14ac:dyDescent="0.25">
      <c r="A255" s="15">
        <f t="shared" si="3"/>
        <v>0.84722222222222221</v>
      </c>
      <c r="B255" s="16">
        <v>1220</v>
      </c>
      <c r="C255" s="52"/>
      <c r="D255" s="53"/>
      <c r="E255" s="53"/>
      <c r="F255" s="53"/>
      <c r="G255" s="53"/>
      <c r="H255" s="53"/>
      <c r="I255" s="54"/>
    </row>
    <row r="256" spans="1:9" hidden="1" x14ac:dyDescent="0.25">
      <c r="A256" s="15">
        <f t="shared" si="3"/>
        <v>0.85069444444444453</v>
      </c>
      <c r="B256" s="16">
        <v>1225</v>
      </c>
      <c r="C256" s="52"/>
      <c r="D256" s="53"/>
      <c r="E256" s="53"/>
      <c r="F256" s="53"/>
      <c r="G256" s="53"/>
      <c r="H256" s="53"/>
      <c r="I256" s="54"/>
    </row>
    <row r="257" spans="1:9" hidden="1" x14ac:dyDescent="0.25">
      <c r="A257" s="15">
        <f t="shared" si="3"/>
        <v>0.85416666666666663</v>
      </c>
      <c r="B257" s="16">
        <v>1230</v>
      </c>
      <c r="C257" s="52"/>
      <c r="D257" s="53"/>
      <c r="E257" s="53"/>
      <c r="F257" s="53"/>
      <c r="G257" s="53"/>
      <c r="H257" s="53"/>
      <c r="I257" s="54"/>
    </row>
    <row r="258" spans="1:9" hidden="1" x14ac:dyDescent="0.25">
      <c r="A258" s="15">
        <f t="shared" si="3"/>
        <v>0.85763888888888884</v>
      </c>
      <c r="B258" s="16">
        <v>1235</v>
      </c>
      <c r="C258" s="52"/>
      <c r="D258" s="53"/>
      <c r="E258" s="53"/>
      <c r="F258" s="53"/>
      <c r="G258" s="53"/>
      <c r="H258" s="53"/>
      <c r="I258" s="54"/>
    </row>
    <row r="259" spans="1:9" hidden="1" x14ac:dyDescent="0.25">
      <c r="A259" s="15">
        <f t="shared" si="3"/>
        <v>0.86111111111111116</v>
      </c>
      <c r="B259" s="16">
        <v>1240</v>
      </c>
      <c r="C259" s="52"/>
      <c r="D259" s="53"/>
      <c r="E259" s="53"/>
      <c r="F259" s="53"/>
      <c r="G259" s="53"/>
      <c r="H259" s="53"/>
      <c r="I259" s="54"/>
    </row>
    <row r="260" spans="1:9" hidden="1" x14ac:dyDescent="0.25">
      <c r="A260" s="15">
        <f t="shared" si="3"/>
        <v>0.86458333333333337</v>
      </c>
      <c r="B260" s="16">
        <v>1245</v>
      </c>
      <c r="C260" s="52"/>
      <c r="D260" s="53"/>
      <c r="E260" s="53"/>
      <c r="F260" s="53"/>
      <c r="G260" s="53"/>
      <c r="H260" s="53"/>
      <c r="I260" s="54"/>
    </row>
    <row r="261" spans="1:9" hidden="1" x14ac:dyDescent="0.25">
      <c r="A261" s="15">
        <f t="shared" si="3"/>
        <v>0.86805555555555547</v>
      </c>
      <c r="B261" s="16">
        <v>1250</v>
      </c>
      <c r="C261" s="52"/>
      <c r="D261" s="53"/>
      <c r="E261" s="53"/>
      <c r="F261" s="53"/>
      <c r="G261" s="53"/>
      <c r="H261" s="53"/>
      <c r="I261" s="54"/>
    </row>
    <row r="262" spans="1:9" hidden="1" x14ac:dyDescent="0.25">
      <c r="A262" s="15">
        <f t="shared" si="3"/>
        <v>0.87152777777777779</v>
      </c>
      <c r="B262" s="16">
        <v>1255</v>
      </c>
      <c r="C262" s="52"/>
      <c r="D262" s="53"/>
      <c r="E262" s="53"/>
      <c r="F262" s="53"/>
      <c r="G262" s="53"/>
      <c r="H262" s="53"/>
      <c r="I262" s="54"/>
    </row>
    <row r="263" spans="1:9" hidden="1" x14ac:dyDescent="0.25">
      <c r="A263" s="15">
        <f t="shared" si="3"/>
        <v>0.875</v>
      </c>
      <c r="B263" s="16">
        <v>1260</v>
      </c>
      <c r="C263" s="52"/>
      <c r="D263" s="53"/>
      <c r="E263" s="53"/>
      <c r="F263" s="53"/>
      <c r="G263" s="53"/>
      <c r="H263" s="53"/>
      <c r="I263" s="54"/>
    </row>
    <row r="264" spans="1:9" hidden="1" x14ac:dyDescent="0.25">
      <c r="A264" s="15">
        <f t="shared" si="3"/>
        <v>0.87847222222222221</v>
      </c>
      <c r="B264" s="16">
        <v>1265</v>
      </c>
      <c r="C264" s="52"/>
      <c r="D264" s="53"/>
      <c r="E264" s="53"/>
      <c r="F264" s="53"/>
      <c r="G264" s="53"/>
      <c r="H264" s="53"/>
      <c r="I264" s="54"/>
    </row>
    <row r="265" spans="1:9" hidden="1" x14ac:dyDescent="0.25">
      <c r="A265" s="15">
        <f t="shared" si="3"/>
        <v>0.88194444444444453</v>
      </c>
      <c r="B265" s="16">
        <v>1270</v>
      </c>
      <c r="C265" s="52"/>
      <c r="D265" s="53"/>
      <c r="E265" s="53"/>
      <c r="F265" s="53"/>
      <c r="G265" s="53"/>
      <c r="H265" s="53"/>
      <c r="I265" s="54"/>
    </row>
    <row r="266" spans="1:9" hidden="1" x14ac:dyDescent="0.25">
      <c r="A266" s="15">
        <f t="shared" si="3"/>
        <v>0.88541666666666663</v>
      </c>
      <c r="B266" s="16">
        <v>1275</v>
      </c>
      <c r="C266" s="52"/>
      <c r="D266" s="53"/>
      <c r="E266" s="53"/>
      <c r="F266" s="53"/>
      <c r="G266" s="53"/>
      <c r="H266" s="53"/>
      <c r="I266" s="54"/>
    </row>
    <row r="267" spans="1:9" hidden="1" x14ac:dyDescent="0.25">
      <c r="A267" s="15">
        <f t="shared" si="3"/>
        <v>0.88888888888888884</v>
      </c>
      <c r="B267" s="16">
        <v>1280</v>
      </c>
      <c r="C267" s="52"/>
      <c r="D267" s="53"/>
      <c r="E267" s="53"/>
      <c r="F267" s="53"/>
      <c r="G267" s="53"/>
      <c r="H267" s="53"/>
      <c r="I267" s="54"/>
    </row>
    <row r="268" spans="1:9" hidden="1" x14ac:dyDescent="0.25">
      <c r="A268" s="15">
        <f t="shared" ref="A268:A298" si="4">TIME(,B268,)</f>
        <v>0.89236111111111116</v>
      </c>
      <c r="B268" s="16">
        <v>1285</v>
      </c>
      <c r="C268" s="52"/>
      <c r="D268" s="53"/>
      <c r="E268" s="53"/>
      <c r="F268" s="53"/>
      <c r="G268" s="53"/>
      <c r="H268" s="53"/>
      <c r="I268" s="54"/>
    </row>
    <row r="269" spans="1:9" hidden="1" x14ac:dyDescent="0.25">
      <c r="A269" s="15">
        <f t="shared" si="4"/>
        <v>0.89583333333333337</v>
      </c>
      <c r="B269" s="16">
        <v>1290</v>
      </c>
      <c r="C269" s="52"/>
      <c r="D269" s="53"/>
      <c r="E269" s="53"/>
      <c r="F269" s="53"/>
      <c r="G269" s="53"/>
      <c r="H269" s="53"/>
      <c r="I269" s="54"/>
    </row>
    <row r="270" spans="1:9" hidden="1" x14ac:dyDescent="0.25">
      <c r="A270" s="15">
        <f t="shared" si="4"/>
        <v>0.89930555555555547</v>
      </c>
      <c r="B270" s="16">
        <v>1295</v>
      </c>
      <c r="C270" s="52"/>
      <c r="D270" s="53"/>
      <c r="E270" s="53"/>
      <c r="F270" s="53"/>
      <c r="G270" s="53"/>
      <c r="H270" s="53"/>
      <c r="I270" s="54"/>
    </row>
    <row r="271" spans="1:9" hidden="1" x14ac:dyDescent="0.25">
      <c r="A271" s="15">
        <f t="shared" si="4"/>
        <v>0.90277777777777779</v>
      </c>
      <c r="B271" s="16">
        <v>1300</v>
      </c>
      <c r="C271" s="52"/>
      <c r="D271" s="53"/>
      <c r="E271" s="53"/>
      <c r="F271" s="53"/>
      <c r="G271" s="53"/>
      <c r="H271" s="53"/>
      <c r="I271" s="54"/>
    </row>
    <row r="272" spans="1:9" hidden="1" x14ac:dyDescent="0.25">
      <c r="A272" s="15">
        <f t="shared" si="4"/>
        <v>0.90625</v>
      </c>
      <c r="B272" s="16">
        <v>1305</v>
      </c>
      <c r="C272" s="52"/>
      <c r="D272" s="53"/>
      <c r="E272" s="53"/>
      <c r="F272" s="53"/>
      <c r="G272" s="53"/>
      <c r="H272" s="53"/>
      <c r="I272" s="54"/>
    </row>
    <row r="273" spans="1:9" hidden="1" x14ac:dyDescent="0.25">
      <c r="A273" s="15">
        <f t="shared" si="4"/>
        <v>0.90972222222222221</v>
      </c>
      <c r="B273" s="16">
        <v>1310</v>
      </c>
      <c r="C273" s="52"/>
      <c r="D273" s="53"/>
      <c r="E273" s="53"/>
      <c r="F273" s="53"/>
      <c r="G273" s="53"/>
      <c r="H273" s="53"/>
      <c r="I273" s="54"/>
    </row>
    <row r="274" spans="1:9" hidden="1" x14ac:dyDescent="0.25">
      <c r="A274" s="15">
        <f t="shared" si="4"/>
        <v>0.91319444444444453</v>
      </c>
      <c r="B274" s="16">
        <v>1315</v>
      </c>
      <c r="C274" s="52"/>
      <c r="D274" s="53"/>
      <c r="E274" s="53"/>
      <c r="F274" s="53"/>
      <c r="G274" s="53"/>
      <c r="H274" s="53"/>
      <c r="I274" s="54"/>
    </row>
    <row r="275" spans="1:9" hidden="1" x14ac:dyDescent="0.25">
      <c r="A275" s="15">
        <f t="shared" si="4"/>
        <v>0.91666666666666663</v>
      </c>
      <c r="B275" s="16">
        <v>1320</v>
      </c>
      <c r="C275" s="52"/>
      <c r="D275" s="53"/>
      <c r="E275" s="53"/>
      <c r="F275" s="53"/>
      <c r="G275" s="53"/>
      <c r="H275" s="53"/>
      <c r="I275" s="54"/>
    </row>
    <row r="276" spans="1:9" hidden="1" x14ac:dyDescent="0.25">
      <c r="A276" s="15">
        <f t="shared" si="4"/>
        <v>0.92013888888888884</v>
      </c>
      <c r="B276" s="16">
        <v>1325</v>
      </c>
      <c r="C276" s="52"/>
      <c r="D276" s="53"/>
      <c r="E276" s="53"/>
      <c r="F276" s="53"/>
      <c r="G276" s="53"/>
      <c r="H276" s="53"/>
      <c r="I276" s="54"/>
    </row>
    <row r="277" spans="1:9" hidden="1" x14ac:dyDescent="0.25">
      <c r="A277" s="15">
        <f t="shared" si="4"/>
        <v>0.92361111111111116</v>
      </c>
      <c r="B277" s="16">
        <v>1330</v>
      </c>
      <c r="C277" s="52"/>
      <c r="D277" s="53"/>
      <c r="E277" s="53"/>
      <c r="F277" s="53"/>
      <c r="G277" s="53"/>
      <c r="H277" s="53"/>
      <c r="I277" s="54"/>
    </row>
    <row r="278" spans="1:9" hidden="1" x14ac:dyDescent="0.25">
      <c r="A278" s="15">
        <f t="shared" si="4"/>
        <v>0.92708333333333337</v>
      </c>
      <c r="B278" s="16">
        <v>1335</v>
      </c>
      <c r="C278" s="52"/>
      <c r="D278" s="53"/>
      <c r="E278" s="53"/>
      <c r="F278" s="53"/>
      <c r="G278" s="53"/>
      <c r="H278" s="53"/>
      <c r="I278" s="54"/>
    </row>
    <row r="279" spans="1:9" hidden="1" x14ac:dyDescent="0.25">
      <c r="A279" s="15">
        <f t="shared" si="4"/>
        <v>0.93055555555555547</v>
      </c>
      <c r="B279" s="16">
        <v>1340</v>
      </c>
      <c r="C279" s="52"/>
      <c r="D279" s="53"/>
      <c r="E279" s="53"/>
      <c r="F279" s="53"/>
      <c r="G279" s="53"/>
      <c r="H279" s="53"/>
      <c r="I279" s="54"/>
    </row>
    <row r="280" spans="1:9" hidden="1" x14ac:dyDescent="0.25">
      <c r="A280" s="15">
        <f t="shared" si="4"/>
        <v>0.93402777777777779</v>
      </c>
      <c r="B280" s="16">
        <v>1345</v>
      </c>
      <c r="C280" s="52"/>
      <c r="D280" s="53"/>
      <c r="E280" s="53"/>
      <c r="F280" s="53"/>
      <c r="G280" s="53"/>
      <c r="H280" s="53"/>
      <c r="I280" s="54"/>
    </row>
    <row r="281" spans="1:9" hidden="1" x14ac:dyDescent="0.25">
      <c r="A281" s="15">
        <f t="shared" si="4"/>
        <v>0.9375</v>
      </c>
      <c r="B281" s="16">
        <v>1350</v>
      </c>
      <c r="C281" s="52"/>
      <c r="D281" s="53"/>
      <c r="E281" s="53"/>
      <c r="F281" s="53"/>
      <c r="G281" s="53"/>
      <c r="H281" s="53"/>
      <c r="I281" s="54"/>
    </row>
    <row r="282" spans="1:9" hidden="1" x14ac:dyDescent="0.25">
      <c r="A282" s="15">
        <f t="shared" si="4"/>
        <v>0.94097222222222221</v>
      </c>
      <c r="B282" s="16">
        <v>1355</v>
      </c>
      <c r="C282" s="52"/>
      <c r="D282" s="53"/>
      <c r="E282" s="53"/>
      <c r="F282" s="53"/>
      <c r="G282" s="53"/>
      <c r="H282" s="53"/>
      <c r="I282" s="54"/>
    </row>
    <row r="283" spans="1:9" hidden="1" x14ac:dyDescent="0.25">
      <c r="A283" s="15">
        <f t="shared" si="4"/>
        <v>0.94444444444444453</v>
      </c>
      <c r="B283" s="16">
        <v>1360</v>
      </c>
      <c r="C283" s="52"/>
      <c r="D283" s="53"/>
      <c r="E283" s="53"/>
      <c r="F283" s="53"/>
      <c r="G283" s="53"/>
      <c r="H283" s="53"/>
      <c r="I283" s="54"/>
    </row>
    <row r="284" spans="1:9" hidden="1" x14ac:dyDescent="0.25">
      <c r="A284" s="15">
        <f t="shared" si="4"/>
        <v>0.94791666666666663</v>
      </c>
      <c r="B284" s="16">
        <v>1365</v>
      </c>
      <c r="C284" s="52"/>
      <c r="D284" s="53"/>
      <c r="E284" s="53"/>
      <c r="F284" s="53"/>
      <c r="G284" s="53"/>
      <c r="H284" s="53"/>
      <c r="I284" s="54"/>
    </row>
    <row r="285" spans="1:9" hidden="1" x14ac:dyDescent="0.25">
      <c r="A285" s="15">
        <f t="shared" si="4"/>
        <v>0.95138888888888884</v>
      </c>
      <c r="B285" s="16">
        <v>1370</v>
      </c>
      <c r="C285" s="52"/>
      <c r="D285" s="53"/>
      <c r="E285" s="53"/>
      <c r="F285" s="53"/>
      <c r="G285" s="53"/>
      <c r="H285" s="53"/>
      <c r="I285" s="54"/>
    </row>
    <row r="286" spans="1:9" hidden="1" x14ac:dyDescent="0.25">
      <c r="A286" s="15">
        <f t="shared" si="4"/>
        <v>0.95486111111111116</v>
      </c>
      <c r="B286" s="16">
        <v>1375</v>
      </c>
      <c r="C286" s="52"/>
      <c r="D286" s="53"/>
      <c r="E286" s="53"/>
      <c r="F286" s="53"/>
      <c r="G286" s="53"/>
      <c r="H286" s="53"/>
      <c r="I286" s="54"/>
    </row>
    <row r="287" spans="1:9" hidden="1" x14ac:dyDescent="0.25">
      <c r="A287" s="15">
        <f t="shared" si="4"/>
        <v>0.95833333333333337</v>
      </c>
      <c r="B287" s="16">
        <v>1380</v>
      </c>
      <c r="C287" s="52"/>
      <c r="D287" s="53"/>
      <c r="E287" s="53"/>
      <c r="F287" s="53"/>
      <c r="G287" s="53"/>
      <c r="H287" s="53"/>
      <c r="I287" s="54"/>
    </row>
    <row r="288" spans="1:9" hidden="1" x14ac:dyDescent="0.25">
      <c r="A288" s="15">
        <f t="shared" si="4"/>
        <v>0.96180555555555547</v>
      </c>
      <c r="B288" s="16">
        <v>1385</v>
      </c>
      <c r="C288" s="52"/>
      <c r="D288" s="53"/>
      <c r="E288" s="53"/>
      <c r="F288" s="53"/>
      <c r="G288" s="53"/>
      <c r="H288" s="53"/>
      <c r="I288" s="54"/>
    </row>
    <row r="289" spans="1:9" hidden="1" x14ac:dyDescent="0.25">
      <c r="A289" s="15">
        <f t="shared" si="4"/>
        <v>0.96527777777777779</v>
      </c>
      <c r="B289" s="16">
        <v>1390</v>
      </c>
      <c r="C289" s="52"/>
      <c r="D289" s="53"/>
      <c r="E289" s="53"/>
      <c r="F289" s="53"/>
      <c r="G289" s="53"/>
      <c r="H289" s="53"/>
      <c r="I289" s="54"/>
    </row>
    <row r="290" spans="1:9" hidden="1" x14ac:dyDescent="0.25">
      <c r="A290" s="15">
        <f t="shared" si="4"/>
        <v>0.96875</v>
      </c>
      <c r="B290" s="16">
        <v>1395</v>
      </c>
      <c r="C290" s="52"/>
      <c r="D290" s="53"/>
      <c r="E290" s="53"/>
      <c r="F290" s="53"/>
      <c r="G290" s="53"/>
      <c r="H290" s="53"/>
      <c r="I290" s="54"/>
    </row>
    <row r="291" spans="1:9" hidden="1" x14ac:dyDescent="0.25">
      <c r="A291" s="15">
        <f t="shared" si="4"/>
        <v>0.97222222222222221</v>
      </c>
      <c r="B291" s="16">
        <v>1400</v>
      </c>
      <c r="C291" s="52"/>
      <c r="D291" s="53"/>
      <c r="E291" s="53"/>
      <c r="F291" s="53"/>
      <c r="G291" s="53"/>
      <c r="H291" s="53"/>
      <c r="I291" s="54"/>
    </row>
    <row r="292" spans="1:9" hidden="1" x14ac:dyDescent="0.25">
      <c r="A292" s="15">
        <f t="shared" si="4"/>
        <v>0.97569444444444453</v>
      </c>
      <c r="B292" s="16">
        <v>1405</v>
      </c>
      <c r="C292" s="52"/>
      <c r="D292" s="53"/>
      <c r="E292" s="53"/>
      <c r="F292" s="53"/>
      <c r="G292" s="53"/>
      <c r="H292" s="53"/>
      <c r="I292" s="54"/>
    </row>
    <row r="293" spans="1:9" hidden="1" x14ac:dyDescent="0.25">
      <c r="A293" s="15">
        <f t="shared" si="4"/>
        <v>0.97916666666666663</v>
      </c>
      <c r="B293" s="16">
        <v>1410</v>
      </c>
      <c r="C293" s="52"/>
      <c r="D293" s="53"/>
      <c r="E293" s="53"/>
      <c r="F293" s="53"/>
      <c r="G293" s="53"/>
      <c r="H293" s="53"/>
      <c r="I293" s="54"/>
    </row>
    <row r="294" spans="1:9" hidden="1" x14ac:dyDescent="0.25">
      <c r="A294" s="15">
        <f t="shared" si="4"/>
        <v>0.98263888888888884</v>
      </c>
      <c r="B294" s="16">
        <v>1415</v>
      </c>
      <c r="C294" s="52"/>
      <c r="D294" s="53"/>
      <c r="E294" s="53"/>
      <c r="F294" s="53"/>
      <c r="G294" s="53"/>
      <c r="H294" s="53"/>
      <c r="I294" s="54"/>
    </row>
    <row r="295" spans="1:9" hidden="1" x14ac:dyDescent="0.25">
      <c r="A295" s="15">
        <f t="shared" si="4"/>
        <v>0.98611111111111116</v>
      </c>
      <c r="B295" s="16">
        <v>1420</v>
      </c>
      <c r="C295" s="52"/>
      <c r="D295" s="53"/>
      <c r="E295" s="53"/>
      <c r="F295" s="53"/>
      <c r="G295" s="53"/>
      <c r="H295" s="53"/>
      <c r="I295" s="54"/>
    </row>
    <row r="296" spans="1:9" hidden="1" x14ac:dyDescent="0.25">
      <c r="A296" s="15">
        <f t="shared" si="4"/>
        <v>0.98958333333333337</v>
      </c>
      <c r="B296" s="16">
        <v>1425</v>
      </c>
      <c r="C296" s="52"/>
      <c r="D296" s="53"/>
      <c r="E296" s="53"/>
      <c r="F296" s="53"/>
      <c r="G296" s="53"/>
      <c r="H296" s="53"/>
      <c r="I296" s="54"/>
    </row>
    <row r="297" spans="1:9" hidden="1" x14ac:dyDescent="0.25">
      <c r="A297" s="15">
        <f t="shared" si="4"/>
        <v>0.99305555555555547</v>
      </c>
      <c r="B297" s="16">
        <v>1430</v>
      </c>
      <c r="C297" s="52"/>
      <c r="D297" s="53"/>
      <c r="E297" s="53"/>
      <c r="F297" s="53"/>
      <c r="G297" s="53"/>
      <c r="H297" s="53"/>
      <c r="I297" s="54"/>
    </row>
    <row r="298" spans="1:9" hidden="1" x14ac:dyDescent="0.25">
      <c r="A298" s="15">
        <f t="shared" si="4"/>
        <v>0.99652777777777779</v>
      </c>
      <c r="B298" s="16">
        <v>1435</v>
      </c>
      <c r="C298" s="52"/>
      <c r="D298" s="52"/>
      <c r="E298" s="52"/>
      <c r="F298" s="52"/>
      <c r="G298" s="52"/>
      <c r="H298" s="52"/>
      <c r="I298" s="52"/>
    </row>
  </sheetData>
  <autoFilter ref="A10:A298" xr:uid="{C71049CB-5C53-430D-8203-39A33AED2C13}">
    <filterColumn colId="0">
      <customFilters and="1">
        <customFilter operator="greaterThanOrEqual" val="0.39583333333333331"/>
        <customFilter operator="lessThanOrEqual" val="0.64236111111111105"/>
      </customFilters>
    </filterColumn>
  </autoFilter>
  <mergeCells count="1">
    <mergeCell ref="F3:H8"/>
  </mergeCells>
  <dataValidations count="3">
    <dataValidation type="list" allowBlank="1" showInputMessage="1" showErrorMessage="1" sqref="D6" xr:uid="{FD14A1CA-2FC4-4A32-974B-B91034DEF31D}">
      <formula1>lst_HorasAF</formula1>
    </dataValidation>
    <dataValidation type="list" allowBlank="1" showInputMessage="1" showErrorMessage="1" sqref="D5" xr:uid="{47DC3947-C6F3-4332-AA3A-04679B88A0A3}">
      <formula1>lst_HorasA</formula1>
    </dataValidation>
    <dataValidation type="list" allowBlank="1" showInputMessage="1" showErrorMessage="1" sqref="D7" xr:uid="{C3BD08DF-DE4B-426A-B5F1-EA893191D764}">
      <formula1>lst_DoctoresC</formula1>
    </dataValidation>
  </dataValidations>
  <pageMargins left="0.7" right="0.7" top="0.75" bottom="0.75" header="0.3" footer="0.3"/>
  <drawing r:id="rId1"/>
  <legacyDrawing r:id="rId2"/>
  <controls>
    <mc:AlternateContent xmlns:mc="http://schemas.openxmlformats.org/markup-compatibility/2006">
      <mc:Choice Requires="x14">
        <control shapeId="9225" r:id="rId3" name="LHorCam6">
          <controlPr defaultSize="0" autoLine="0" r:id="rId4">
            <anchor moveWithCells="1">
              <from>
                <xdr:col>8</xdr:col>
                <xdr:colOff>762000</xdr:colOff>
                <xdr:row>5</xdr:row>
                <xdr:rowOff>152400</xdr:rowOff>
              </from>
              <to>
                <xdr:col>9</xdr:col>
                <xdr:colOff>38100</xdr:colOff>
                <xdr:row>8</xdr:row>
                <xdr:rowOff>95250</xdr:rowOff>
              </to>
            </anchor>
          </controlPr>
        </control>
      </mc:Choice>
      <mc:Fallback>
        <control shapeId="9225" r:id="rId3" name="LHorCam6"/>
      </mc:Fallback>
    </mc:AlternateContent>
    <mc:AlternateContent xmlns:mc="http://schemas.openxmlformats.org/markup-compatibility/2006">
      <mc:Choice Requires="x14">
        <control shapeId="9224" r:id="rId5" name="LHorCam5">
          <controlPr defaultSize="0" autoLine="0" r:id="rId6">
            <anchor moveWithCells="1">
              <from>
                <xdr:col>8</xdr:col>
                <xdr:colOff>276225</xdr:colOff>
                <xdr:row>5</xdr:row>
                <xdr:rowOff>152400</xdr:rowOff>
              </from>
              <to>
                <xdr:col>8</xdr:col>
                <xdr:colOff>723900</xdr:colOff>
                <xdr:row>8</xdr:row>
                <xdr:rowOff>76200</xdr:rowOff>
              </to>
            </anchor>
          </controlPr>
        </control>
      </mc:Choice>
      <mc:Fallback>
        <control shapeId="9224" r:id="rId5" name="LHorCam5"/>
      </mc:Fallback>
    </mc:AlternateContent>
    <mc:AlternateContent xmlns:mc="http://schemas.openxmlformats.org/markup-compatibility/2006">
      <mc:Choice Requires="x14">
        <control shapeId="9223" r:id="rId7" name="LHorCam4">
          <controlPr defaultSize="0" autoLine="0" r:id="rId8">
            <anchor moveWithCells="1">
              <from>
                <xdr:col>4</xdr:col>
                <xdr:colOff>257175</xdr:colOff>
                <xdr:row>5</xdr:row>
                <xdr:rowOff>180975</xdr:rowOff>
              </from>
              <to>
                <xdr:col>4</xdr:col>
                <xdr:colOff>704850</xdr:colOff>
                <xdr:row>7</xdr:row>
                <xdr:rowOff>57150</xdr:rowOff>
              </to>
            </anchor>
          </controlPr>
        </control>
      </mc:Choice>
      <mc:Fallback>
        <control shapeId="9223" r:id="rId7" name="LHorCam4"/>
      </mc:Fallback>
    </mc:AlternateContent>
    <mc:AlternateContent xmlns:mc="http://schemas.openxmlformats.org/markup-compatibility/2006">
      <mc:Choice Requires="x14">
        <control shapeId="9222" r:id="rId9" name="LHorCam3">
          <controlPr defaultSize="0" autoLine="0" r:id="rId8">
            <anchor moveWithCells="1">
              <from>
                <xdr:col>4</xdr:col>
                <xdr:colOff>247650</xdr:colOff>
                <xdr:row>3</xdr:row>
                <xdr:rowOff>161925</xdr:rowOff>
              </from>
              <to>
                <xdr:col>4</xdr:col>
                <xdr:colOff>695325</xdr:colOff>
                <xdr:row>5</xdr:row>
                <xdr:rowOff>133350</xdr:rowOff>
              </to>
            </anchor>
          </controlPr>
        </control>
      </mc:Choice>
      <mc:Fallback>
        <control shapeId="9222" r:id="rId9" name="LHorCam3"/>
      </mc:Fallback>
    </mc:AlternateContent>
    <mc:AlternateContent xmlns:mc="http://schemas.openxmlformats.org/markup-compatibility/2006">
      <mc:Choice Requires="x14">
        <control shapeId="9221" r:id="rId10" name="LHorCam2">
          <controlPr defaultSize="0" autoLine="0" r:id="rId8">
            <anchor moveWithCells="1">
              <from>
                <xdr:col>2</xdr:col>
                <xdr:colOff>514350</xdr:colOff>
                <xdr:row>7</xdr:row>
                <xdr:rowOff>0</xdr:rowOff>
              </from>
              <to>
                <xdr:col>2</xdr:col>
                <xdr:colOff>962025</xdr:colOff>
                <xdr:row>8</xdr:row>
                <xdr:rowOff>161925</xdr:rowOff>
              </to>
            </anchor>
          </controlPr>
        </control>
      </mc:Choice>
      <mc:Fallback>
        <control shapeId="9221" r:id="rId10" name="LHorCam2"/>
      </mc:Fallback>
    </mc:AlternateContent>
    <mc:AlternateContent xmlns:mc="http://schemas.openxmlformats.org/markup-compatibility/2006">
      <mc:Choice Requires="x14">
        <control shapeId="9220" r:id="rId11" name="LHorCam1">
          <controlPr defaultSize="0" autoLine="0" r:id="rId12">
            <anchor moveWithCells="1">
              <from>
                <xdr:col>2</xdr:col>
                <xdr:colOff>47625</xdr:colOff>
                <xdr:row>6</xdr:row>
                <xdr:rowOff>247650</xdr:rowOff>
              </from>
              <to>
                <xdr:col>2</xdr:col>
                <xdr:colOff>495300</xdr:colOff>
                <xdr:row>8</xdr:row>
                <xdr:rowOff>180975</xdr:rowOff>
              </to>
            </anchor>
          </controlPr>
        </control>
      </mc:Choice>
      <mc:Fallback>
        <control shapeId="9220" r:id="rId11" name="LHorCam1"/>
      </mc:Fallback>
    </mc:AlternateContent>
    <mc:AlternateContent xmlns:mc="http://schemas.openxmlformats.org/markup-compatibility/2006">
      <mc:Choice Requires="x14">
        <control shapeId="9219" r:id="rId13" name="horarioCambio_BackLabel3">
          <controlPr defaultSize="0" autoLine="0" autoPict="0" r:id="rId14">
            <anchor moveWithCells="1">
              <from>
                <xdr:col>6</xdr:col>
                <xdr:colOff>952500</xdr:colOff>
                <xdr:row>1</xdr:row>
                <xdr:rowOff>19050</xdr:rowOff>
              </from>
              <to>
                <xdr:col>10</xdr:col>
                <xdr:colOff>504825</xdr:colOff>
                <xdr:row>8</xdr:row>
                <xdr:rowOff>133350</xdr:rowOff>
              </to>
            </anchor>
          </controlPr>
        </control>
      </mc:Choice>
      <mc:Fallback>
        <control shapeId="9219" r:id="rId13" name="horarioCambio_BackLabel3"/>
      </mc:Fallback>
    </mc:AlternateContent>
    <mc:AlternateContent xmlns:mc="http://schemas.openxmlformats.org/markup-compatibility/2006">
      <mc:Choice Requires="x14">
        <control shapeId="9218" r:id="rId15" name="horarioCambioBackLabel2">
          <controlPr defaultSize="0" autoLine="0" autoPict="0" r:id="rId16">
            <anchor moveWithCells="1">
              <from>
                <xdr:col>4</xdr:col>
                <xdr:colOff>57150</xdr:colOff>
                <xdr:row>1</xdr:row>
                <xdr:rowOff>85725</xdr:rowOff>
              </from>
              <to>
                <xdr:col>6</xdr:col>
                <xdr:colOff>66675</xdr:colOff>
                <xdr:row>8</xdr:row>
                <xdr:rowOff>133350</xdr:rowOff>
              </to>
            </anchor>
          </controlPr>
        </control>
      </mc:Choice>
      <mc:Fallback>
        <control shapeId="9218" r:id="rId15" name="horarioCambioBackLabel2"/>
      </mc:Fallback>
    </mc:AlternateContent>
    <mc:AlternateContent xmlns:mc="http://schemas.openxmlformats.org/markup-compatibility/2006">
      <mc:Choice Requires="x14">
        <control shapeId="9217" r:id="rId17" name="horarioCambio_BackLabel">
          <controlPr defaultSize="0" autoLine="0" autoPict="0" r:id="rId18">
            <anchor moveWithCells="1">
              <from>
                <xdr:col>0</xdr:col>
                <xdr:colOff>828675</xdr:colOff>
                <xdr:row>2</xdr:row>
                <xdr:rowOff>19050</xdr:rowOff>
              </from>
              <to>
                <xdr:col>2</xdr:col>
                <xdr:colOff>1076325</xdr:colOff>
                <xdr:row>9</xdr:row>
                <xdr:rowOff>152400</xdr:rowOff>
              </to>
            </anchor>
          </controlPr>
        </control>
      </mc:Choice>
      <mc:Fallback>
        <control shapeId="9217" r:id="rId17" name="horarioCambio_BackLabel"/>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915FE-6BED-43DA-BB54-E784D771ABD7}">
  <sheetPr codeName="Sheet7"/>
  <dimension ref="A9:T18"/>
  <sheetViews>
    <sheetView workbookViewId="0">
      <selection activeCell="D11" sqref="D11:H16"/>
    </sheetView>
  </sheetViews>
  <sheetFormatPr defaultRowHeight="15" x14ac:dyDescent="0.25"/>
  <cols>
    <col min="4" max="4" width="28.140625" customWidth="1"/>
    <col min="5" max="5" width="23.42578125" bestFit="1" customWidth="1"/>
    <col min="6" max="6" width="23.7109375" bestFit="1" customWidth="1"/>
    <col min="7" max="7" width="24" bestFit="1" customWidth="1"/>
    <col min="8" max="8" width="26.7109375" bestFit="1" customWidth="1"/>
  </cols>
  <sheetData>
    <row r="9" spans="1:20" x14ac:dyDescent="0.25">
      <c r="O9" s="3" t="s">
        <v>79</v>
      </c>
      <c r="P9" s="3" t="s">
        <v>80</v>
      </c>
      <c r="Q9" s="3" t="s">
        <v>81</v>
      </c>
      <c r="R9" s="3" t="s">
        <v>82</v>
      </c>
      <c r="S9" s="3" t="s">
        <v>83</v>
      </c>
    </row>
    <row r="10" spans="1:20" x14ac:dyDescent="0.25">
      <c r="A10" t="s">
        <v>72</v>
      </c>
      <c r="B10" t="s">
        <v>202</v>
      </c>
      <c r="D10" s="3" t="s">
        <v>79</v>
      </c>
      <c r="E10" s="3" t="s">
        <v>80</v>
      </c>
      <c r="F10" s="3" t="s">
        <v>81</v>
      </c>
      <c r="G10" s="3" t="s">
        <v>82</v>
      </c>
      <c r="H10" s="3" t="s">
        <v>83</v>
      </c>
      <c r="O10" s="18" t="s">
        <v>84</v>
      </c>
      <c r="P10" s="4">
        <v>1</v>
      </c>
      <c r="Q10" s="4">
        <v>30</v>
      </c>
      <c r="R10" s="4">
        <v>0.09</v>
      </c>
      <c r="S10" s="4">
        <v>0</v>
      </c>
      <c r="T10" t="s">
        <v>89</v>
      </c>
    </row>
    <row r="11" spans="1:20" x14ac:dyDescent="0.25">
      <c r="A11" t="s">
        <v>73</v>
      </c>
      <c r="B11" t="s">
        <v>73</v>
      </c>
      <c r="D11" s="18" t="s">
        <v>84</v>
      </c>
      <c r="E11" s="4">
        <v>1</v>
      </c>
      <c r="F11" s="4">
        <v>30</v>
      </c>
      <c r="G11" s="4">
        <v>0.09</v>
      </c>
      <c r="H11" s="4">
        <v>0</v>
      </c>
      <c r="I11" t="s">
        <v>89</v>
      </c>
      <c r="O11" s="19" t="s">
        <v>102</v>
      </c>
      <c r="P11" s="4">
        <v>2</v>
      </c>
      <c r="Q11" s="4">
        <v>20</v>
      </c>
      <c r="R11" s="4">
        <v>0.09</v>
      </c>
      <c r="S11" s="4">
        <v>7</v>
      </c>
      <c r="T11" t="s">
        <v>90</v>
      </c>
    </row>
    <row r="12" spans="1:20" x14ac:dyDescent="0.25">
      <c r="A12" t="s">
        <v>74</v>
      </c>
      <c r="B12" t="s">
        <v>74</v>
      </c>
      <c r="D12" s="19" t="s">
        <v>102</v>
      </c>
      <c r="E12" s="4">
        <v>2</v>
      </c>
      <c r="F12" s="4">
        <v>20</v>
      </c>
      <c r="G12" s="4">
        <v>0.09</v>
      </c>
      <c r="H12" s="4">
        <v>7</v>
      </c>
      <c r="I12" t="s">
        <v>90</v>
      </c>
      <c r="O12" s="20" t="s">
        <v>85</v>
      </c>
      <c r="P12" s="4">
        <v>3</v>
      </c>
      <c r="Q12" s="4">
        <v>20</v>
      </c>
      <c r="R12" s="4">
        <v>0.09</v>
      </c>
      <c r="S12" s="4">
        <v>7</v>
      </c>
      <c r="T12" t="s">
        <v>91</v>
      </c>
    </row>
    <row r="13" spans="1:20" x14ac:dyDescent="0.25">
      <c r="A13" t="s">
        <v>75</v>
      </c>
      <c r="B13" t="s">
        <v>75</v>
      </c>
      <c r="D13" s="20" t="s">
        <v>85</v>
      </c>
      <c r="E13" s="4">
        <v>3</v>
      </c>
      <c r="F13" s="4">
        <v>20</v>
      </c>
      <c r="G13" s="4">
        <v>0.09</v>
      </c>
      <c r="H13" s="4">
        <v>7</v>
      </c>
      <c r="I13" t="s">
        <v>91</v>
      </c>
      <c r="O13" s="21" t="s">
        <v>86</v>
      </c>
      <c r="P13" s="4">
        <v>4</v>
      </c>
      <c r="Q13" s="4">
        <v>20</v>
      </c>
      <c r="R13" s="4">
        <v>0.09</v>
      </c>
      <c r="S13" s="4">
        <v>7</v>
      </c>
      <c r="T13" t="s">
        <v>92</v>
      </c>
    </row>
    <row r="14" spans="1:20" x14ac:dyDescent="0.25">
      <c r="A14" t="s">
        <v>76</v>
      </c>
      <c r="B14" t="s">
        <v>76</v>
      </c>
      <c r="D14" s="21" t="s">
        <v>86</v>
      </c>
      <c r="E14" s="4">
        <v>4</v>
      </c>
      <c r="F14" s="4">
        <v>20</v>
      </c>
      <c r="G14" s="4">
        <v>0.09</v>
      </c>
      <c r="H14" s="4">
        <v>7</v>
      </c>
      <c r="I14" t="s">
        <v>92</v>
      </c>
      <c r="O14" s="22" t="s">
        <v>87</v>
      </c>
      <c r="P14" s="4">
        <v>5</v>
      </c>
      <c r="Q14" s="4">
        <v>30</v>
      </c>
      <c r="R14" s="4">
        <v>0.09</v>
      </c>
      <c r="S14" s="4">
        <v>7</v>
      </c>
      <c r="T14" t="s">
        <v>93</v>
      </c>
    </row>
    <row r="15" spans="1:20" x14ac:dyDescent="0.25">
      <c r="A15" t="s">
        <v>77</v>
      </c>
      <c r="B15" t="s">
        <v>77</v>
      </c>
      <c r="D15" s="22" t="s">
        <v>87</v>
      </c>
      <c r="E15" s="4">
        <v>5</v>
      </c>
      <c r="F15" s="4">
        <v>30</v>
      </c>
      <c r="G15" s="4">
        <v>0.09</v>
      </c>
      <c r="H15" s="4">
        <v>7</v>
      </c>
      <c r="I15" t="s">
        <v>93</v>
      </c>
      <c r="O15" s="23" t="s">
        <v>88</v>
      </c>
      <c r="P15" s="4">
        <v>6</v>
      </c>
      <c r="Q15" s="4">
        <v>15</v>
      </c>
      <c r="R15" s="4">
        <v>0.09</v>
      </c>
      <c r="S15" s="4">
        <v>14</v>
      </c>
      <c r="T15" t="s">
        <v>94</v>
      </c>
    </row>
    <row r="16" spans="1:20" x14ac:dyDescent="0.25">
      <c r="A16" t="s">
        <v>78</v>
      </c>
      <c r="B16" t="s">
        <v>78</v>
      </c>
      <c r="D16" s="23" t="s">
        <v>88</v>
      </c>
      <c r="E16" s="4">
        <v>6</v>
      </c>
      <c r="F16" s="4">
        <v>15</v>
      </c>
      <c r="G16" s="4">
        <v>0.09</v>
      </c>
      <c r="H16" s="4">
        <v>14</v>
      </c>
      <c r="I16" t="s">
        <v>94</v>
      </c>
    </row>
    <row r="17" spans="1:2" x14ac:dyDescent="0.25">
      <c r="A17" t="s">
        <v>107</v>
      </c>
      <c r="B17" t="s">
        <v>107</v>
      </c>
    </row>
    <row r="18" spans="1:2" x14ac:dyDescent="0.25">
      <c r="B18" t="s">
        <v>108</v>
      </c>
    </row>
  </sheetData>
  <phoneticPr fontId="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3C54E-299B-494D-9AD9-7A8C9B1EB7EB}">
  <sheetPr codeName="Sheet9"/>
  <dimension ref="A1:BY24"/>
  <sheetViews>
    <sheetView showGridLines="0" workbookViewId="0">
      <pane xSplit="2" ySplit="10" topLeftCell="C11" activePane="bottomRight" state="frozen"/>
      <selection pane="topRight" activeCell="C1" sqref="C1"/>
      <selection pane="bottomLeft" activeCell="A11" sqref="A11"/>
      <selection pane="bottomRight" activeCell="J22" sqref="J22"/>
    </sheetView>
  </sheetViews>
  <sheetFormatPr defaultRowHeight="15" x14ac:dyDescent="0.25"/>
  <cols>
    <col min="3" max="8" width="13.42578125" customWidth="1"/>
  </cols>
  <sheetData>
    <row r="1" spans="1:77" ht="38.25" customHeight="1" x14ac:dyDescent="0.25">
      <c r="B1" s="9"/>
      <c r="C1" s="9"/>
      <c r="D1" s="9"/>
      <c r="E1" s="9"/>
      <c r="F1" s="9"/>
      <c r="G1" s="9"/>
      <c r="H1" s="29" t="b">
        <v>1</v>
      </c>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row>
    <row r="3" spans="1:77" ht="18.75" x14ac:dyDescent="0.3">
      <c r="C3" t="s">
        <v>113</v>
      </c>
      <c r="D3" s="31" t="str">
        <f>+wSettings!B9</f>
        <v>2023-01-02</v>
      </c>
      <c r="F3" s="177" t="s">
        <v>183</v>
      </c>
      <c r="G3" s="177"/>
    </row>
    <row r="4" spans="1:77" ht="18.75" x14ac:dyDescent="0.3">
      <c r="C4" t="s">
        <v>179</v>
      </c>
      <c r="D4" s="31" t="str">
        <f>IF(wSettings!$B$2, "Deshabilitado", "Habilitado")</f>
        <v>Deshabilitado</v>
      </c>
      <c r="F4" s="177"/>
      <c r="G4" s="177"/>
    </row>
    <row r="5" spans="1:77" x14ac:dyDescent="0.25">
      <c r="C5" s="6"/>
      <c r="F5" s="177"/>
      <c r="G5" s="177"/>
    </row>
    <row r="6" spans="1:77" x14ac:dyDescent="0.25">
      <c r="F6" s="177"/>
      <c r="G6" s="177"/>
    </row>
    <row r="7" spans="1:77" x14ac:dyDescent="0.25">
      <c r="F7" s="177"/>
      <c r="G7" s="177"/>
    </row>
    <row r="8" spans="1:77" x14ac:dyDescent="0.25">
      <c r="F8" s="177"/>
      <c r="G8" s="177"/>
    </row>
    <row r="9" spans="1:77" x14ac:dyDescent="0.25">
      <c r="C9" s="44" t="s">
        <v>110</v>
      </c>
    </row>
    <row r="10" spans="1:77" ht="30" x14ac:dyDescent="0.25">
      <c r="B10" s="34" t="s">
        <v>112</v>
      </c>
      <c r="C10" s="35" t="s">
        <v>84</v>
      </c>
      <c r="D10" s="36" t="s">
        <v>102</v>
      </c>
      <c r="E10" s="37" t="s">
        <v>85</v>
      </c>
      <c r="F10" s="38" t="s">
        <v>86</v>
      </c>
      <c r="G10" s="39" t="s">
        <v>87</v>
      </c>
      <c r="H10" s="40" t="s">
        <v>88</v>
      </c>
    </row>
    <row r="11" spans="1:77" x14ac:dyDescent="0.25">
      <c r="A11" s="160" t="s">
        <v>123</v>
      </c>
      <c r="B11" s="32" t="s">
        <v>114</v>
      </c>
      <c r="C11" s="48">
        <v>45182</v>
      </c>
      <c r="D11" s="48">
        <v>45567</v>
      </c>
      <c r="E11" s="48">
        <v>45198</v>
      </c>
      <c r="F11" s="48">
        <v>45190</v>
      </c>
      <c r="G11" s="48">
        <v>45222</v>
      </c>
      <c r="H11" s="48">
        <v>45225</v>
      </c>
    </row>
    <row r="12" spans="1:77" x14ac:dyDescent="0.25">
      <c r="A12" s="160"/>
      <c r="B12" s="33" t="s">
        <v>118</v>
      </c>
      <c r="C12" s="48">
        <v>45182</v>
      </c>
      <c r="D12" s="48">
        <v>45597</v>
      </c>
      <c r="E12" s="48">
        <v>45187</v>
      </c>
      <c r="F12" s="48">
        <v>45187</v>
      </c>
      <c r="G12" s="48">
        <v>45189</v>
      </c>
      <c r="H12" s="48">
        <v>45187</v>
      </c>
    </row>
    <row r="13" spans="1:77" x14ac:dyDescent="0.25">
      <c r="A13" s="160"/>
      <c r="B13" s="33" t="s">
        <v>119</v>
      </c>
      <c r="C13" s="48">
        <v>45182</v>
      </c>
      <c r="D13" s="48">
        <v>45567</v>
      </c>
      <c r="E13" s="48">
        <v>45211</v>
      </c>
      <c r="F13" s="48">
        <v>45197</v>
      </c>
      <c r="G13" s="48">
        <v>45189</v>
      </c>
      <c r="H13" s="48">
        <v>45189</v>
      </c>
    </row>
    <row r="14" spans="1:77" x14ac:dyDescent="0.25">
      <c r="A14" s="160"/>
      <c r="B14" s="33" t="s">
        <v>120</v>
      </c>
      <c r="C14" s="48">
        <v>45182</v>
      </c>
      <c r="D14" s="48">
        <v>45617</v>
      </c>
      <c r="E14" s="48">
        <v>45195</v>
      </c>
      <c r="F14" s="48">
        <v>45209</v>
      </c>
      <c r="G14" s="48">
        <v>45194</v>
      </c>
      <c r="H14" s="48">
        <v>45189</v>
      </c>
    </row>
    <row r="15" spans="1:77" x14ac:dyDescent="0.25">
      <c r="A15" s="160"/>
      <c r="B15" s="33" t="s">
        <v>121</v>
      </c>
      <c r="C15" s="48">
        <v>45187</v>
      </c>
      <c r="D15" s="48">
        <v>45567</v>
      </c>
      <c r="E15" s="48">
        <v>45201</v>
      </c>
      <c r="F15" s="48">
        <v>45190</v>
      </c>
      <c r="G15" s="48">
        <v>45190</v>
      </c>
      <c r="H15" s="48">
        <v>45194</v>
      </c>
    </row>
    <row r="16" spans="1:77" x14ac:dyDescent="0.25">
      <c r="A16" s="160"/>
      <c r="B16" s="33" t="s">
        <v>122</v>
      </c>
      <c r="C16" s="48">
        <v>45182</v>
      </c>
      <c r="D16" s="48">
        <v>45567</v>
      </c>
      <c r="E16" s="48">
        <v>45196</v>
      </c>
      <c r="F16" s="48">
        <v>45195</v>
      </c>
      <c r="G16" s="48">
        <v>45194</v>
      </c>
      <c r="H16" s="48">
        <v>45187</v>
      </c>
    </row>
    <row r="17" spans="1:8" x14ac:dyDescent="0.25">
      <c r="A17" s="160"/>
      <c r="B17" s="33"/>
      <c r="C17" s="49"/>
      <c r="D17" s="49"/>
      <c r="E17" s="49"/>
      <c r="F17" s="49"/>
      <c r="G17" s="49"/>
      <c r="H17" s="49"/>
    </row>
    <row r="18" spans="1:8" x14ac:dyDescent="0.25">
      <c r="A18" s="160"/>
      <c r="B18" s="33"/>
      <c r="C18" s="49"/>
      <c r="D18" s="49"/>
      <c r="E18" s="49"/>
      <c r="F18" s="49"/>
      <c r="G18" s="49"/>
      <c r="H18" s="49"/>
    </row>
    <row r="19" spans="1:8" x14ac:dyDescent="0.25">
      <c r="A19" s="160"/>
      <c r="B19" s="33"/>
      <c r="C19" s="49"/>
      <c r="D19" s="49"/>
      <c r="E19" s="49"/>
      <c r="F19" s="49"/>
      <c r="G19" s="49"/>
      <c r="H19" s="49"/>
    </row>
    <row r="20" spans="1:8" x14ac:dyDescent="0.25">
      <c r="A20" s="160"/>
      <c r="B20" s="33"/>
      <c r="C20" s="49"/>
      <c r="D20" s="49"/>
      <c r="E20" s="49"/>
      <c r="F20" s="49"/>
      <c r="G20" s="49"/>
      <c r="H20" s="49"/>
    </row>
    <row r="21" spans="1:8" x14ac:dyDescent="0.25">
      <c r="A21" s="160"/>
      <c r="B21" s="33"/>
      <c r="C21" s="49"/>
      <c r="D21" s="49"/>
      <c r="E21" s="49"/>
      <c r="F21" s="49"/>
      <c r="G21" s="49"/>
      <c r="H21" s="49"/>
    </row>
    <row r="22" spans="1:8" x14ac:dyDescent="0.25">
      <c r="A22" s="160"/>
      <c r="B22" s="33"/>
      <c r="C22" s="49"/>
      <c r="D22" s="49"/>
      <c r="E22" s="49"/>
      <c r="F22" s="49"/>
      <c r="G22" s="49"/>
      <c r="H22" s="49"/>
    </row>
    <row r="23" spans="1:8" x14ac:dyDescent="0.25">
      <c r="A23" s="160"/>
      <c r="B23" s="33"/>
      <c r="C23" s="49"/>
      <c r="D23" s="49"/>
      <c r="E23" s="49"/>
      <c r="F23" s="49"/>
      <c r="G23" s="49"/>
      <c r="H23" s="49"/>
    </row>
    <row r="24" spans="1:8" x14ac:dyDescent="0.25">
      <c r="A24" s="160"/>
      <c r="B24" s="33"/>
      <c r="C24" s="49"/>
      <c r="D24" s="49"/>
      <c r="E24" s="49"/>
      <c r="F24" s="49"/>
      <c r="G24" s="49"/>
      <c r="H24" s="49"/>
    </row>
  </sheetData>
  <mergeCells count="2">
    <mergeCell ref="A11:A24"/>
    <mergeCell ref="F3:G8"/>
  </mergeCells>
  <phoneticPr fontId="5" type="noConversion"/>
  <conditionalFormatting sqref="C11:H24">
    <cfRule type="colorScale" priority="1">
      <colorScale>
        <cfvo type="min"/>
        <cfvo type="percentile" val="50"/>
        <cfvo type="max"/>
        <color rgb="FF63BE7B"/>
        <color rgb="FFFFEB84"/>
        <color rgb="FFF8696B"/>
      </colorScale>
    </cfRule>
  </conditionalFormatting>
  <pageMargins left="0.7" right="0.7" top="0.75" bottom="0.75" header="0.3" footer="0.3"/>
  <drawing r:id="rId1"/>
  <legacyDrawing r:id="rId2"/>
  <controls>
    <mc:AlternateContent xmlns:mc="http://schemas.openxmlformats.org/markup-compatibility/2006">
      <mc:Choice Requires="x14">
        <control shapeId="10245" r:id="rId3" name="LFechaMax4">
          <controlPr defaultSize="0" autoLine="0" r:id="rId4">
            <anchor moveWithCells="1">
              <from>
                <xdr:col>7</xdr:col>
                <xdr:colOff>438150</xdr:colOff>
                <xdr:row>5</xdr:row>
                <xdr:rowOff>161925</xdr:rowOff>
              </from>
              <to>
                <xdr:col>7</xdr:col>
                <xdr:colOff>885825</xdr:colOff>
                <xdr:row>8</xdr:row>
                <xdr:rowOff>28575</xdr:rowOff>
              </to>
            </anchor>
          </controlPr>
        </control>
      </mc:Choice>
      <mc:Fallback>
        <control shapeId="10245" r:id="rId3" name="LFechaMax4"/>
      </mc:Fallback>
    </mc:AlternateContent>
    <mc:AlternateContent xmlns:mc="http://schemas.openxmlformats.org/markup-compatibility/2006">
      <mc:Choice Requires="x14">
        <control shapeId="10244" r:id="rId5" name="LFechaMax3">
          <controlPr defaultSize="0" autoLine="0" r:id="rId6">
            <anchor moveWithCells="1">
              <from>
                <xdr:col>3</xdr:col>
                <xdr:colOff>295275</xdr:colOff>
                <xdr:row>5</xdr:row>
                <xdr:rowOff>104775</xdr:rowOff>
              </from>
              <to>
                <xdr:col>3</xdr:col>
                <xdr:colOff>742950</xdr:colOff>
                <xdr:row>8</xdr:row>
                <xdr:rowOff>0</xdr:rowOff>
              </to>
            </anchor>
          </controlPr>
        </control>
      </mc:Choice>
      <mc:Fallback>
        <control shapeId="10244" r:id="rId5" name="LFechaMax3"/>
      </mc:Fallback>
    </mc:AlternateContent>
    <mc:AlternateContent xmlns:mc="http://schemas.openxmlformats.org/markup-compatibility/2006">
      <mc:Choice Requires="x14">
        <control shapeId="10243" r:id="rId7" name="LFechaMax2">
          <controlPr defaultSize="0" autoLine="0" r:id="rId8">
            <anchor moveWithCells="1">
              <from>
                <xdr:col>2</xdr:col>
                <xdr:colOff>638175</xdr:colOff>
                <xdr:row>5</xdr:row>
                <xdr:rowOff>123825</xdr:rowOff>
              </from>
              <to>
                <xdr:col>3</xdr:col>
                <xdr:colOff>190500</xdr:colOff>
                <xdr:row>8</xdr:row>
                <xdr:rowOff>28575</xdr:rowOff>
              </to>
            </anchor>
          </controlPr>
        </control>
      </mc:Choice>
      <mc:Fallback>
        <control shapeId="10243" r:id="rId7" name="LFechaMax2"/>
      </mc:Fallback>
    </mc:AlternateContent>
    <mc:AlternateContent xmlns:mc="http://schemas.openxmlformats.org/markup-compatibility/2006">
      <mc:Choice Requires="x14">
        <control shapeId="10242" r:id="rId9" name="LFechaMax1">
          <controlPr defaultSize="0" autoLine="0" r:id="rId10">
            <anchor moveWithCells="1">
              <from>
                <xdr:col>2</xdr:col>
                <xdr:colOff>47625</xdr:colOff>
                <xdr:row>5</xdr:row>
                <xdr:rowOff>133350</xdr:rowOff>
              </from>
              <to>
                <xdr:col>2</xdr:col>
                <xdr:colOff>495300</xdr:colOff>
                <xdr:row>8</xdr:row>
                <xdr:rowOff>9525</xdr:rowOff>
              </to>
            </anchor>
          </controlPr>
        </control>
      </mc:Choice>
      <mc:Fallback>
        <control shapeId="10242" r:id="rId9" name="LFechaMax1"/>
      </mc:Fallback>
    </mc:AlternateContent>
    <mc:AlternateContent xmlns:mc="http://schemas.openxmlformats.org/markup-compatibility/2006">
      <mc:Choice Requires="x14">
        <control shapeId="10241" r:id="rId11" name="FechaMax_Backlabel">
          <controlPr defaultSize="0" autoLine="0" autoPict="0" r:id="rId12">
            <anchor moveWithCells="1">
              <from>
                <xdr:col>0</xdr:col>
                <xdr:colOff>123825</xdr:colOff>
                <xdr:row>1</xdr:row>
                <xdr:rowOff>66675</xdr:rowOff>
              </from>
              <to>
                <xdr:col>12</xdr:col>
                <xdr:colOff>180975</xdr:colOff>
                <xdr:row>9</xdr:row>
                <xdr:rowOff>304800</xdr:rowOff>
              </to>
            </anchor>
          </controlPr>
        </control>
      </mc:Choice>
      <mc:Fallback>
        <control shapeId="10241" r:id="rId11" name="FechaMax_Backlabel"/>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5D38-937C-418D-A599-5BFDC3B1261B}">
  <sheetPr codeName="Sheet2"/>
  <dimension ref="B1:BZ10"/>
  <sheetViews>
    <sheetView showGridLines="0" workbookViewId="0">
      <selection activeCell="C15" sqref="C15"/>
    </sheetView>
  </sheetViews>
  <sheetFormatPr defaultRowHeight="15" x14ac:dyDescent="0.25"/>
  <cols>
    <col min="2" max="2" width="19.28515625" customWidth="1"/>
    <col min="3" max="3" width="74" customWidth="1"/>
  </cols>
  <sheetData>
    <row r="1" spans="2:78" ht="56.25" customHeight="1" x14ac:dyDescent="0.25">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row>
    <row r="4" spans="2:78" ht="35.25" customHeight="1" x14ac:dyDescent="0.25">
      <c r="B4" s="11" t="s">
        <v>61</v>
      </c>
      <c r="C4" s="10" t="s">
        <v>203</v>
      </c>
    </row>
    <row r="5" spans="2:78" ht="35.25" customHeight="1" x14ac:dyDescent="0.25">
      <c r="B5" s="11" t="s">
        <v>63</v>
      </c>
      <c r="C5" s="10" t="s">
        <v>62</v>
      </c>
    </row>
    <row r="6" spans="2:78" ht="35.25" customHeight="1" x14ac:dyDescent="0.25">
      <c r="B6" s="11" t="s">
        <v>64</v>
      </c>
      <c r="C6" s="10" t="s">
        <v>66</v>
      </c>
    </row>
    <row r="7" spans="2:78" ht="35.25" customHeight="1" x14ac:dyDescent="0.25">
      <c r="B7" s="11" t="s">
        <v>65</v>
      </c>
      <c r="C7" s="10" t="s">
        <v>204</v>
      </c>
    </row>
    <row r="8" spans="2:78" ht="35.25" customHeight="1" x14ac:dyDescent="0.25">
      <c r="B8" s="11" t="s">
        <v>98</v>
      </c>
      <c r="C8" s="10" t="s">
        <v>99</v>
      </c>
    </row>
    <row r="9" spans="2:78" ht="30" x14ac:dyDescent="0.25">
      <c r="B9" s="11" t="s">
        <v>100</v>
      </c>
      <c r="C9" s="10" t="s">
        <v>101</v>
      </c>
    </row>
    <row r="10" spans="2:78" ht="30" x14ac:dyDescent="0.25">
      <c r="B10" s="43" t="s">
        <v>124</v>
      </c>
      <c r="C10" s="10" t="s">
        <v>125</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2EAA4-A60D-4219-B759-D21573F3DCE8}">
  <sheetPr codeName="Sheet12"/>
  <dimension ref="A1:I289"/>
  <sheetViews>
    <sheetView zoomScale="70" zoomScaleNormal="70" workbookViewId="0">
      <selection activeCell="I1" sqref="C1:I1048576"/>
    </sheetView>
  </sheetViews>
  <sheetFormatPr defaultRowHeight="15" x14ac:dyDescent="0.25"/>
  <cols>
    <col min="1" max="1" width="12.5703125" customWidth="1"/>
    <col min="3" max="7" width="26.5703125" bestFit="1" customWidth="1"/>
  </cols>
  <sheetData>
    <row r="1" spans="1:9" x14ac:dyDescent="0.25">
      <c r="A1" s="12" t="s">
        <v>198</v>
      </c>
      <c r="B1" s="71" t="s">
        <v>67</v>
      </c>
      <c r="C1" t="s">
        <v>68</v>
      </c>
      <c r="D1" t="s">
        <v>69</v>
      </c>
      <c r="E1" t="s">
        <v>199</v>
      </c>
      <c r="F1" t="s">
        <v>70</v>
      </c>
      <c r="G1" t="s">
        <v>71</v>
      </c>
      <c r="H1" t="s">
        <v>200</v>
      </c>
      <c r="I1" t="s">
        <v>201</v>
      </c>
    </row>
    <row r="2" spans="1:9" x14ac:dyDescent="0.25">
      <c r="A2" s="69">
        <f>TIME(,B2,)</f>
        <v>0</v>
      </c>
      <c r="B2" s="70">
        <v>0</v>
      </c>
    </row>
    <row r="3" spans="1:9" x14ac:dyDescent="0.25">
      <c r="A3" s="69">
        <f t="shared" ref="A3:A66" si="0">TIME(,B3,)</f>
        <v>3.472222222222222E-3</v>
      </c>
      <c r="B3" s="71">
        <v>5</v>
      </c>
    </row>
    <row r="4" spans="1:9" x14ac:dyDescent="0.25">
      <c r="A4" s="69">
        <f t="shared" si="0"/>
        <v>6.9444444444444441E-3</v>
      </c>
      <c r="B4" s="71">
        <v>10</v>
      </c>
    </row>
    <row r="5" spans="1:9" x14ac:dyDescent="0.25">
      <c r="A5" s="69">
        <f t="shared" si="0"/>
        <v>1.0416666666666666E-2</v>
      </c>
      <c r="B5" s="71">
        <v>15</v>
      </c>
    </row>
    <row r="6" spans="1:9" x14ac:dyDescent="0.25">
      <c r="A6" s="69">
        <f t="shared" si="0"/>
        <v>1.3888888888888888E-2</v>
      </c>
      <c r="B6" s="71">
        <v>20</v>
      </c>
    </row>
    <row r="7" spans="1:9" x14ac:dyDescent="0.25">
      <c r="A7" s="69">
        <f t="shared" si="0"/>
        <v>1.7361111111111112E-2</v>
      </c>
      <c r="B7" s="71">
        <v>25</v>
      </c>
    </row>
    <row r="8" spans="1:9" x14ac:dyDescent="0.25">
      <c r="A8" s="69">
        <f t="shared" si="0"/>
        <v>2.0833333333333332E-2</v>
      </c>
      <c r="B8" s="71">
        <v>30</v>
      </c>
    </row>
    <row r="9" spans="1:9" x14ac:dyDescent="0.25">
      <c r="A9" s="69">
        <f t="shared" si="0"/>
        <v>2.4305555555555556E-2</v>
      </c>
      <c r="B9" s="71">
        <v>35</v>
      </c>
    </row>
    <row r="10" spans="1:9" x14ac:dyDescent="0.25">
      <c r="A10" s="69">
        <f t="shared" si="0"/>
        <v>2.7777777777777776E-2</v>
      </c>
      <c r="B10" s="71">
        <v>40</v>
      </c>
    </row>
    <row r="11" spans="1:9" x14ac:dyDescent="0.25">
      <c r="A11" s="69">
        <f t="shared" si="0"/>
        <v>3.125E-2</v>
      </c>
      <c r="B11" s="71">
        <v>45</v>
      </c>
    </row>
    <row r="12" spans="1:9" x14ac:dyDescent="0.25">
      <c r="A12" s="69">
        <f t="shared" si="0"/>
        <v>3.4722222222222224E-2</v>
      </c>
      <c r="B12" s="71">
        <v>50</v>
      </c>
    </row>
    <row r="13" spans="1:9" x14ac:dyDescent="0.25">
      <c r="A13" s="69">
        <f t="shared" si="0"/>
        <v>3.8194444444444441E-2</v>
      </c>
      <c r="B13" s="71">
        <v>55</v>
      </c>
    </row>
    <row r="14" spans="1:9" x14ac:dyDescent="0.25">
      <c r="A14" s="69">
        <f t="shared" si="0"/>
        <v>4.1666666666666664E-2</v>
      </c>
      <c r="B14" s="71">
        <v>60</v>
      </c>
    </row>
    <row r="15" spans="1:9" x14ac:dyDescent="0.25">
      <c r="A15" s="69">
        <f t="shared" si="0"/>
        <v>4.5138888888888888E-2</v>
      </c>
      <c r="B15" s="71">
        <v>65</v>
      </c>
    </row>
    <row r="16" spans="1:9" x14ac:dyDescent="0.25">
      <c r="A16" s="69">
        <f t="shared" si="0"/>
        <v>4.8611111111111112E-2</v>
      </c>
      <c r="B16" s="71">
        <v>70</v>
      </c>
    </row>
    <row r="17" spans="1:2" x14ac:dyDescent="0.25">
      <c r="A17" s="69">
        <f t="shared" si="0"/>
        <v>5.2083333333333336E-2</v>
      </c>
      <c r="B17" s="71">
        <v>75</v>
      </c>
    </row>
    <row r="18" spans="1:2" x14ac:dyDescent="0.25">
      <c r="A18" s="69">
        <f t="shared" si="0"/>
        <v>5.5555555555555552E-2</v>
      </c>
      <c r="B18" s="71">
        <v>80</v>
      </c>
    </row>
    <row r="19" spans="1:2" x14ac:dyDescent="0.25">
      <c r="A19" s="69">
        <f t="shared" si="0"/>
        <v>5.9027777777777783E-2</v>
      </c>
      <c r="B19" s="71">
        <v>85</v>
      </c>
    </row>
    <row r="20" spans="1:2" x14ac:dyDescent="0.25">
      <c r="A20" s="69">
        <f t="shared" si="0"/>
        <v>6.25E-2</v>
      </c>
      <c r="B20" s="71">
        <v>90</v>
      </c>
    </row>
    <row r="21" spans="1:2" x14ac:dyDescent="0.25">
      <c r="A21" s="69">
        <f t="shared" si="0"/>
        <v>6.5972222222222224E-2</v>
      </c>
      <c r="B21" s="71">
        <v>95</v>
      </c>
    </row>
    <row r="22" spans="1:2" x14ac:dyDescent="0.25">
      <c r="A22" s="69">
        <f t="shared" si="0"/>
        <v>6.9444444444444448E-2</v>
      </c>
      <c r="B22" s="71">
        <v>100</v>
      </c>
    </row>
    <row r="23" spans="1:2" x14ac:dyDescent="0.25">
      <c r="A23" s="69">
        <f t="shared" si="0"/>
        <v>7.2916666666666671E-2</v>
      </c>
      <c r="B23" s="71">
        <v>105</v>
      </c>
    </row>
    <row r="24" spans="1:2" x14ac:dyDescent="0.25">
      <c r="A24" s="69">
        <f t="shared" si="0"/>
        <v>7.6388888888888881E-2</v>
      </c>
      <c r="B24" s="71">
        <v>110</v>
      </c>
    </row>
    <row r="25" spans="1:2" x14ac:dyDescent="0.25">
      <c r="A25" s="69">
        <f t="shared" si="0"/>
        <v>7.9861111111111119E-2</v>
      </c>
      <c r="B25" s="71">
        <v>115</v>
      </c>
    </row>
    <row r="26" spans="1:2" x14ac:dyDescent="0.25">
      <c r="A26" s="69">
        <f t="shared" si="0"/>
        <v>8.3333333333333329E-2</v>
      </c>
      <c r="B26" s="71">
        <v>120</v>
      </c>
    </row>
    <row r="27" spans="1:2" x14ac:dyDescent="0.25">
      <c r="A27" s="69">
        <f t="shared" si="0"/>
        <v>8.6805555555555566E-2</v>
      </c>
      <c r="B27" s="71">
        <v>125</v>
      </c>
    </row>
    <row r="28" spans="1:2" x14ac:dyDescent="0.25">
      <c r="A28" s="69">
        <f t="shared" si="0"/>
        <v>9.0277777777777776E-2</v>
      </c>
      <c r="B28" s="71">
        <v>130</v>
      </c>
    </row>
    <row r="29" spans="1:2" x14ac:dyDescent="0.25">
      <c r="A29" s="69">
        <f t="shared" si="0"/>
        <v>9.375E-2</v>
      </c>
      <c r="B29" s="71">
        <v>135</v>
      </c>
    </row>
    <row r="30" spans="1:2" x14ac:dyDescent="0.25">
      <c r="A30" s="69">
        <f t="shared" si="0"/>
        <v>9.7222222222222224E-2</v>
      </c>
      <c r="B30" s="71">
        <v>140</v>
      </c>
    </row>
    <row r="31" spans="1:2" x14ac:dyDescent="0.25">
      <c r="A31" s="69">
        <f t="shared" si="0"/>
        <v>0.10069444444444443</v>
      </c>
      <c r="B31" s="71">
        <v>145</v>
      </c>
    </row>
    <row r="32" spans="1:2" x14ac:dyDescent="0.25">
      <c r="A32" s="69">
        <f t="shared" si="0"/>
        <v>0.10416666666666667</v>
      </c>
      <c r="B32" s="71">
        <v>150</v>
      </c>
    </row>
    <row r="33" spans="1:2" x14ac:dyDescent="0.25">
      <c r="A33" s="69">
        <f t="shared" si="0"/>
        <v>0.1076388888888889</v>
      </c>
      <c r="B33" s="71">
        <v>155</v>
      </c>
    </row>
    <row r="34" spans="1:2" x14ac:dyDescent="0.25">
      <c r="A34" s="69">
        <f t="shared" si="0"/>
        <v>0.1111111111111111</v>
      </c>
      <c r="B34" s="71">
        <v>160</v>
      </c>
    </row>
    <row r="35" spans="1:2" x14ac:dyDescent="0.25">
      <c r="A35" s="69">
        <f t="shared" si="0"/>
        <v>0.11458333333333333</v>
      </c>
      <c r="B35" s="71">
        <v>165</v>
      </c>
    </row>
    <row r="36" spans="1:2" x14ac:dyDescent="0.25">
      <c r="A36" s="69">
        <f t="shared" si="0"/>
        <v>0.11805555555555557</v>
      </c>
      <c r="B36" s="71">
        <v>170</v>
      </c>
    </row>
    <row r="37" spans="1:2" x14ac:dyDescent="0.25">
      <c r="A37" s="69">
        <f t="shared" si="0"/>
        <v>0.12152777777777778</v>
      </c>
      <c r="B37" s="71">
        <v>175</v>
      </c>
    </row>
    <row r="38" spans="1:2" x14ac:dyDescent="0.25">
      <c r="A38" s="69">
        <f t="shared" si="0"/>
        <v>0.125</v>
      </c>
      <c r="B38" s="71">
        <v>180</v>
      </c>
    </row>
    <row r="39" spans="1:2" x14ac:dyDescent="0.25">
      <c r="A39" s="69">
        <f t="shared" si="0"/>
        <v>0.12847222222222224</v>
      </c>
      <c r="B39" s="71">
        <v>185</v>
      </c>
    </row>
    <row r="40" spans="1:2" x14ac:dyDescent="0.25">
      <c r="A40" s="69">
        <f t="shared" si="0"/>
        <v>0.13194444444444445</v>
      </c>
      <c r="B40" s="71">
        <v>190</v>
      </c>
    </row>
    <row r="41" spans="1:2" x14ac:dyDescent="0.25">
      <c r="A41" s="69">
        <f t="shared" si="0"/>
        <v>0.13541666666666666</v>
      </c>
      <c r="B41" s="71">
        <v>195</v>
      </c>
    </row>
    <row r="42" spans="1:2" x14ac:dyDescent="0.25">
      <c r="A42" s="69">
        <f t="shared" si="0"/>
        <v>0.1388888888888889</v>
      </c>
      <c r="B42" s="71">
        <v>200</v>
      </c>
    </row>
    <row r="43" spans="1:2" x14ac:dyDescent="0.25">
      <c r="A43" s="69">
        <f t="shared" si="0"/>
        <v>0.1423611111111111</v>
      </c>
      <c r="B43" s="71">
        <v>205</v>
      </c>
    </row>
    <row r="44" spans="1:2" x14ac:dyDescent="0.25">
      <c r="A44" s="69">
        <f t="shared" si="0"/>
        <v>0.14583333333333334</v>
      </c>
      <c r="B44" s="71">
        <v>210</v>
      </c>
    </row>
    <row r="45" spans="1:2" x14ac:dyDescent="0.25">
      <c r="A45" s="69">
        <f t="shared" si="0"/>
        <v>0.14930555555555555</v>
      </c>
      <c r="B45" s="71">
        <v>215</v>
      </c>
    </row>
    <row r="46" spans="1:2" x14ac:dyDescent="0.25">
      <c r="A46" s="69">
        <f t="shared" si="0"/>
        <v>0.15277777777777776</v>
      </c>
      <c r="B46" s="71">
        <v>220</v>
      </c>
    </row>
    <row r="47" spans="1:2" x14ac:dyDescent="0.25">
      <c r="A47" s="69">
        <f t="shared" si="0"/>
        <v>0.15625</v>
      </c>
      <c r="B47" s="71">
        <v>225</v>
      </c>
    </row>
    <row r="48" spans="1:2" x14ac:dyDescent="0.25">
      <c r="A48" s="69">
        <f t="shared" si="0"/>
        <v>0.15972222222222224</v>
      </c>
      <c r="B48" s="71">
        <v>230</v>
      </c>
    </row>
    <row r="49" spans="1:2" x14ac:dyDescent="0.25">
      <c r="A49" s="69">
        <f t="shared" si="0"/>
        <v>0.16319444444444445</v>
      </c>
      <c r="B49" s="71">
        <v>235</v>
      </c>
    </row>
    <row r="50" spans="1:2" x14ac:dyDescent="0.25">
      <c r="A50" s="69">
        <f t="shared" si="0"/>
        <v>0.16666666666666666</v>
      </c>
      <c r="B50" s="71">
        <v>240</v>
      </c>
    </row>
    <row r="51" spans="1:2" x14ac:dyDescent="0.25">
      <c r="A51" s="69">
        <f t="shared" si="0"/>
        <v>0.17013888888888887</v>
      </c>
      <c r="B51" s="71">
        <v>245</v>
      </c>
    </row>
    <row r="52" spans="1:2" x14ac:dyDescent="0.25">
      <c r="A52" s="69">
        <f t="shared" si="0"/>
        <v>0.17361111111111113</v>
      </c>
      <c r="B52" s="71">
        <v>250</v>
      </c>
    </row>
    <row r="53" spans="1:2" x14ac:dyDescent="0.25">
      <c r="A53" s="69">
        <f t="shared" si="0"/>
        <v>0.17708333333333334</v>
      </c>
      <c r="B53" s="71">
        <v>255</v>
      </c>
    </row>
    <row r="54" spans="1:2" x14ac:dyDescent="0.25">
      <c r="A54" s="69">
        <f t="shared" si="0"/>
        <v>0.18055555555555555</v>
      </c>
      <c r="B54" s="71">
        <v>260</v>
      </c>
    </row>
    <row r="55" spans="1:2" x14ac:dyDescent="0.25">
      <c r="A55" s="69">
        <f t="shared" si="0"/>
        <v>0.18402777777777779</v>
      </c>
      <c r="B55" s="71">
        <v>265</v>
      </c>
    </row>
    <row r="56" spans="1:2" x14ac:dyDescent="0.25">
      <c r="A56" s="69">
        <f t="shared" si="0"/>
        <v>0.1875</v>
      </c>
      <c r="B56" s="71">
        <v>270</v>
      </c>
    </row>
    <row r="57" spans="1:2" x14ac:dyDescent="0.25">
      <c r="A57" s="69">
        <f t="shared" si="0"/>
        <v>0.19097222222222221</v>
      </c>
      <c r="B57" s="71">
        <v>275</v>
      </c>
    </row>
    <row r="58" spans="1:2" x14ac:dyDescent="0.25">
      <c r="A58" s="69">
        <f t="shared" si="0"/>
        <v>0.19444444444444445</v>
      </c>
      <c r="B58" s="71">
        <v>280</v>
      </c>
    </row>
    <row r="59" spans="1:2" x14ac:dyDescent="0.25">
      <c r="A59" s="69">
        <f t="shared" si="0"/>
        <v>0.19791666666666666</v>
      </c>
      <c r="B59" s="71">
        <v>285</v>
      </c>
    </row>
    <row r="60" spans="1:2" x14ac:dyDescent="0.25">
      <c r="A60" s="69">
        <f t="shared" si="0"/>
        <v>0.20138888888888887</v>
      </c>
      <c r="B60" s="71">
        <v>290</v>
      </c>
    </row>
    <row r="61" spans="1:2" x14ac:dyDescent="0.25">
      <c r="A61" s="69">
        <f t="shared" si="0"/>
        <v>0.20486111111111113</v>
      </c>
      <c r="B61" s="71">
        <v>295</v>
      </c>
    </row>
    <row r="62" spans="1:2" x14ac:dyDescent="0.25">
      <c r="A62" s="69">
        <f t="shared" si="0"/>
        <v>0.20833333333333334</v>
      </c>
      <c r="B62" s="71">
        <v>300</v>
      </c>
    </row>
    <row r="63" spans="1:2" x14ac:dyDescent="0.25">
      <c r="A63" s="69">
        <f t="shared" si="0"/>
        <v>0.21180555555555555</v>
      </c>
      <c r="B63" s="71">
        <v>305</v>
      </c>
    </row>
    <row r="64" spans="1:2" x14ac:dyDescent="0.25">
      <c r="A64" s="69">
        <f t="shared" si="0"/>
        <v>0.21527777777777779</v>
      </c>
      <c r="B64" s="71">
        <v>310</v>
      </c>
    </row>
    <row r="65" spans="1:7" x14ac:dyDescent="0.25">
      <c r="A65" s="69">
        <f t="shared" si="0"/>
        <v>0.21875</v>
      </c>
      <c r="B65" s="71">
        <v>315</v>
      </c>
    </row>
    <row r="66" spans="1:7" x14ac:dyDescent="0.25">
      <c r="A66" s="69">
        <f t="shared" si="0"/>
        <v>0.22222222222222221</v>
      </c>
      <c r="B66" s="71">
        <v>320</v>
      </c>
    </row>
    <row r="67" spans="1:7" x14ac:dyDescent="0.25">
      <c r="A67" s="69">
        <f t="shared" ref="A67:A130" si="1">TIME(,B67,)</f>
        <v>0.22569444444444445</v>
      </c>
      <c r="B67" s="71">
        <v>325</v>
      </c>
    </row>
    <row r="68" spans="1:7" x14ac:dyDescent="0.25">
      <c r="A68" s="69">
        <f t="shared" si="1"/>
        <v>0.22916666666666666</v>
      </c>
      <c r="B68" s="71">
        <v>330</v>
      </c>
    </row>
    <row r="69" spans="1:7" x14ac:dyDescent="0.25">
      <c r="A69" s="69">
        <f t="shared" si="1"/>
        <v>0.23263888888888887</v>
      </c>
      <c r="B69" s="71">
        <v>335</v>
      </c>
    </row>
    <row r="70" spans="1:7" x14ac:dyDescent="0.25">
      <c r="A70" s="69">
        <f t="shared" si="1"/>
        <v>0.23611111111111113</v>
      </c>
      <c r="B70" s="71">
        <v>340</v>
      </c>
    </row>
    <row r="71" spans="1:7" x14ac:dyDescent="0.25">
      <c r="A71" s="69">
        <f t="shared" si="1"/>
        <v>0.23958333333333334</v>
      </c>
      <c r="B71" s="71">
        <v>345</v>
      </c>
    </row>
    <row r="72" spans="1:7" x14ac:dyDescent="0.25">
      <c r="A72" s="69">
        <f t="shared" si="1"/>
        <v>0.24305555555555555</v>
      </c>
      <c r="B72" s="71">
        <v>350</v>
      </c>
    </row>
    <row r="73" spans="1:7" x14ac:dyDescent="0.25">
      <c r="A73" s="69">
        <f t="shared" si="1"/>
        <v>0.24652777777777779</v>
      </c>
      <c r="B73" s="71">
        <v>355</v>
      </c>
    </row>
    <row r="74" spans="1:7" x14ac:dyDescent="0.25">
      <c r="A74" s="69">
        <f t="shared" si="1"/>
        <v>0.25</v>
      </c>
      <c r="B74" s="71">
        <v>360</v>
      </c>
      <c r="G74" t="s">
        <v>84</v>
      </c>
    </row>
    <row r="75" spans="1:7" x14ac:dyDescent="0.25">
      <c r="A75" s="69">
        <f t="shared" si="1"/>
        <v>0.25347222222222221</v>
      </c>
      <c r="B75" s="71">
        <v>365</v>
      </c>
      <c r="G75" t="s">
        <v>84</v>
      </c>
    </row>
    <row r="76" spans="1:7" x14ac:dyDescent="0.25">
      <c r="A76" s="69">
        <f t="shared" si="1"/>
        <v>0.25694444444444448</v>
      </c>
      <c r="B76" s="71">
        <v>370</v>
      </c>
      <c r="G76" t="s">
        <v>84</v>
      </c>
    </row>
    <row r="77" spans="1:7" x14ac:dyDescent="0.25">
      <c r="A77" s="69">
        <f t="shared" si="1"/>
        <v>0.26041666666666669</v>
      </c>
      <c r="B77" s="71">
        <v>375</v>
      </c>
      <c r="G77" t="s">
        <v>84</v>
      </c>
    </row>
    <row r="78" spans="1:7" x14ac:dyDescent="0.25">
      <c r="A78" s="69">
        <f t="shared" si="1"/>
        <v>0.2638888888888889</v>
      </c>
      <c r="B78" s="71">
        <v>380</v>
      </c>
      <c r="G78" t="s">
        <v>84</v>
      </c>
    </row>
    <row r="79" spans="1:7" x14ac:dyDescent="0.25">
      <c r="A79" s="69">
        <f t="shared" si="1"/>
        <v>0.2673611111111111</v>
      </c>
      <c r="B79" s="71">
        <v>385</v>
      </c>
      <c r="G79" t="s">
        <v>84</v>
      </c>
    </row>
    <row r="80" spans="1:7" x14ac:dyDescent="0.25">
      <c r="A80" s="69">
        <f t="shared" si="1"/>
        <v>0.27083333333333331</v>
      </c>
      <c r="B80" s="71">
        <v>390</v>
      </c>
      <c r="G80" t="s">
        <v>88</v>
      </c>
    </row>
    <row r="81" spans="1:7" x14ac:dyDescent="0.25">
      <c r="A81" s="69">
        <f t="shared" si="1"/>
        <v>0.27430555555555552</v>
      </c>
      <c r="B81" s="71">
        <v>395</v>
      </c>
      <c r="G81" t="s">
        <v>88</v>
      </c>
    </row>
    <row r="82" spans="1:7" x14ac:dyDescent="0.25">
      <c r="A82" s="69">
        <f t="shared" si="1"/>
        <v>0.27777777777777779</v>
      </c>
      <c r="B82" s="71">
        <v>400</v>
      </c>
      <c r="G82" t="s">
        <v>88</v>
      </c>
    </row>
    <row r="83" spans="1:7" x14ac:dyDescent="0.25">
      <c r="A83" s="69">
        <f t="shared" si="1"/>
        <v>0.28125</v>
      </c>
      <c r="B83" s="71">
        <v>405</v>
      </c>
      <c r="G83" t="s">
        <v>88</v>
      </c>
    </row>
    <row r="84" spans="1:7" x14ac:dyDescent="0.25">
      <c r="A84" s="69">
        <f t="shared" si="1"/>
        <v>0.28472222222222221</v>
      </c>
      <c r="B84" s="71">
        <v>410</v>
      </c>
      <c r="G84" t="s">
        <v>88</v>
      </c>
    </row>
    <row r="85" spans="1:7" x14ac:dyDescent="0.25">
      <c r="A85" s="69">
        <f t="shared" si="1"/>
        <v>0.28819444444444448</v>
      </c>
      <c r="B85" s="71">
        <v>415</v>
      </c>
      <c r="G85" t="s">
        <v>88</v>
      </c>
    </row>
    <row r="86" spans="1:7" x14ac:dyDescent="0.25">
      <c r="A86" s="69">
        <f t="shared" si="1"/>
        <v>0.29166666666666669</v>
      </c>
      <c r="B86" s="71">
        <v>420</v>
      </c>
      <c r="C86" t="s">
        <v>102</v>
      </c>
      <c r="D86" t="s">
        <v>102</v>
      </c>
      <c r="E86" t="s">
        <v>102</v>
      </c>
      <c r="F86" t="s">
        <v>102</v>
      </c>
      <c r="G86" t="s">
        <v>102</v>
      </c>
    </row>
    <row r="87" spans="1:7" x14ac:dyDescent="0.25">
      <c r="A87" s="69">
        <f t="shared" si="1"/>
        <v>0.2951388888888889</v>
      </c>
      <c r="B87" s="71">
        <v>425</v>
      </c>
      <c r="C87" t="s">
        <v>102</v>
      </c>
      <c r="D87" t="s">
        <v>102</v>
      </c>
      <c r="E87" t="s">
        <v>102</v>
      </c>
      <c r="F87" t="s">
        <v>102</v>
      </c>
      <c r="G87" t="s">
        <v>102</v>
      </c>
    </row>
    <row r="88" spans="1:7" x14ac:dyDescent="0.25">
      <c r="A88" s="69">
        <f t="shared" si="1"/>
        <v>0.2986111111111111</v>
      </c>
      <c r="B88" s="71">
        <v>430</v>
      </c>
      <c r="C88" t="s">
        <v>102</v>
      </c>
      <c r="D88" t="s">
        <v>102</v>
      </c>
      <c r="E88" t="s">
        <v>102</v>
      </c>
      <c r="F88" t="s">
        <v>102</v>
      </c>
      <c r="G88" t="s">
        <v>102</v>
      </c>
    </row>
    <row r="89" spans="1:7" x14ac:dyDescent="0.25">
      <c r="A89" s="69">
        <f t="shared" si="1"/>
        <v>0.30208333333333331</v>
      </c>
      <c r="B89" s="71">
        <v>435</v>
      </c>
      <c r="C89" t="s">
        <v>102</v>
      </c>
      <c r="D89" t="s">
        <v>102</v>
      </c>
      <c r="E89" t="s">
        <v>102</v>
      </c>
      <c r="F89" t="s">
        <v>102</v>
      </c>
      <c r="G89" t="s">
        <v>102</v>
      </c>
    </row>
    <row r="90" spans="1:7" x14ac:dyDescent="0.25">
      <c r="A90" s="69">
        <f t="shared" si="1"/>
        <v>0.30555555555555552</v>
      </c>
      <c r="B90" s="71">
        <v>440</v>
      </c>
      <c r="C90" t="s">
        <v>102</v>
      </c>
      <c r="D90" t="s">
        <v>102</v>
      </c>
      <c r="E90" t="s">
        <v>102</v>
      </c>
      <c r="F90" t="s">
        <v>102</v>
      </c>
      <c r="G90" t="s">
        <v>85</v>
      </c>
    </row>
    <row r="91" spans="1:7" x14ac:dyDescent="0.25">
      <c r="A91" s="69">
        <f t="shared" si="1"/>
        <v>0.30902777777777779</v>
      </c>
      <c r="B91" s="71">
        <v>445</v>
      </c>
      <c r="C91" t="s">
        <v>102</v>
      </c>
      <c r="D91" t="s">
        <v>102</v>
      </c>
      <c r="E91" t="s">
        <v>102</v>
      </c>
      <c r="F91" t="s">
        <v>102</v>
      </c>
      <c r="G91" t="s">
        <v>85</v>
      </c>
    </row>
    <row r="92" spans="1:7" x14ac:dyDescent="0.25">
      <c r="A92" s="69">
        <f t="shared" si="1"/>
        <v>0.3125</v>
      </c>
      <c r="B92" s="71">
        <v>450</v>
      </c>
      <c r="C92" t="s">
        <v>102</v>
      </c>
      <c r="D92" t="s">
        <v>102</v>
      </c>
      <c r="E92" t="s">
        <v>102</v>
      </c>
      <c r="F92" t="s">
        <v>102</v>
      </c>
      <c r="G92" t="s">
        <v>85</v>
      </c>
    </row>
    <row r="93" spans="1:7" x14ac:dyDescent="0.25">
      <c r="A93" s="69">
        <f t="shared" si="1"/>
        <v>0.31597222222222221</v>
      </c>
      <c r="B93" s="71">
        <v>455</v>
      </c>
      <c r="C93" t="s">
        <v>102</v>
      </c>
      <c r="D93" t="s">
        <v>102</v>
      </c>
      <c r="E93" t="s">
        <v>102</v>
      </c>
      <c r="F93" t="s">
        <v>102</v>
      </c>
      <c r="G93" t="s">
        <v>85</v>
      </c>
    </row>
    <row r="94" spans="1:7" x14ac:dyDescent="0.25">
      <c r="A94" s="69">
        <f t="shared" si="1"/>
        <v>0.31944444444444448</v>
      </c>
      <c r="B94" s="71">
        <v>460</v>
      </c>
      <c r="C94" t="s">
        <v>102</v>
      </c>
      <c r="D94" t="s">
        <v>102</v>
      </c>
      <c r="E94" t="s">
        <v>102</v>
      </c>
      <c r="F94" t="s">
        <v>102</v>
      </c>
      <c r="G94" t="s">
        <v>86</v>
      </c>
    </row>
    <row r="95" spans="1:7" x14ac:dyDescent="0.25">
      <c r="A95" s="69">
        <f t="shared" si="1"/>
        <v>0.32291666666666669</v>
      </c>
      <c r="B95" s="71">
        <v>465</v>
      </c>
      <c r="C95" t="s">
        <v>102</v>
      </c>
      <c r="D95" t="s">
        <v>102</v>
      </c>
      <c r="E95" t="s">
        <v>102</v>
      </c>
      <c r="F95" t="s">
        <v>102</v>
      </c>
      <c r="G95" t="s">
        <v>86</v>
      </c>
    </row>
    <row r="96" spans="1:7" x14ac:dyDescent="0.25">
      <c r="A96" s="69">
        <f t="shared" si="1"/>
        <v>0.3263888888888889</v>
      </c>
      <c r="B96" s="71">
        <v>470</v>
      </c>
      <c r="C96" t="s">
        <v>102</v>
      </c>
      <c r="D96" t="s">
        <v>102</v>
      </c>
      <c r="E96" t="s">
        <v>102</v>
      </c>
      <c r="F96" t="s">
        <v>102</v>
      </c>
      <c r="G96" t="s">
        <v>86</v>
      </c>
    </row>
    <row r="97" spans="1:7" x14ac:dyDescent="0.25">
      <c r="A97" s="69">
        <f t="shared" si="1"/>
        <v>0.3298611111111111</v>
      </c>
      <c r="B97" s="71">
        <v>475</v>
      </c>
      <c r="C97" t="s">
        <v>102</v>
      </c>
      <c r="D97" t="s">
        <v>102</v>
      </c>
      <c r="E97" t="s">
        <v>102</v>
      </c>
      <c r="F97" t="s">
        <v>102</v>
      </c>
      <c r="G97" t="s">
        <v>86</v>
      </c>
    </row>
    <row r="98" spans="1:7" x14ac:dyDescent="0.25">
      <c r="A98" s="69">
        <f t="shared" si="1"/>
        <v>0.33333333333333331</v>
      </c>
      <c r="B98" s="71">
        <v>480</v>
      </c>
      <c r="C98" t="s">
        <v>85</v>
      </c>
      <c r="D98" t="s">
        <v>85</v>
      </c>
      <c r="E98" t="s">
        <v>85</v>
      </c>
      <c r="F98" t="s">
        <v>85</v>
      </c>
    </row>
    <row r="99" spans="1:7" x14ac:dyDescent="0.25">
      <c r="A99" s="69">
        <f t="shared" si="1"/>
        <v>0.33680555555555558</v>
      </c>
      <c r="B99" s="71">
        <v>485</v>
      </c>
      <c r="C99" t="s">
        <v>85</v>
      </c>
      <c r="D99" t="s">
        <v>85</v>
      </c>
      <c r="E99" t="s">
        <v>85</v>
      </c>
      <c r="F99" t="s">
        <v>85</v>
      </c>
    </row>
    <row r="100" spans="1:7" x14ac:dyDescent="0.25">
      <c r="A100" s="69">
        <f t="shared" si="1"/>
        <v>0.34027777777777773</v>
      </c>
      <c r="B100" s="71">
        <v>490</v>
      </c>
      <c r="C100" t="s">
        <v>85</v>
      </c>
      <c r="D100" t="s">
        <v>85</v>
      </c>
      <c r="E100" t="s">
        <v>85</v>
      </c>
      <c r="F100" t="s">
        <v>85</v>
      </c>
    </row>
    <row r="101" spans="1:7" x14ac:dyDescent="0.25">
      <c r="A101" s="69">
        <f t="shared" si="1"/>
        <v>0.34375</v>
      </c>
      <c r="B101" s="71">
        <v>495</v>
      </c>
      <c r="C101" t="s">
        <v>85</v>
      </c>
      <c r="D101" t="s">
        <v>85</v>
      </c>
      <c r="E101" t="s">
        <v>85</v>
      </c>
      <c r="F101" t="s">
        <v>85</v>
      </c>
    </row>
    <row r="102" spans="1:7" x14ac:dyDescent="0.25">
      <c r="A102" s="69">
        <f t="shared" si="1"/>
        <v>0.34722222222222227</v>
      </c>
      <c r="B102" s="71">
        <v>500</v>
      </c>
      <c r="C102" t="s">
        <v>85</v>
      </c>
      <c r="D102" t="s">
        <v>85</v>
      </c>
      <c r="E102" t="s">
        <v>85</v>
      </c>
      <c r="F102" t="s">
        <v>85</v>
      </c>
    </row>
    <row r="103" spans="1:7" x14ac:dyDescent="0.25">
      <c r="A103" s="69">
        <f t="shared" si="1"/>
        <v>0.35069444444444442</v>
      </c>
      <c r="B103" s="71">
        <v>505</v>
      </c>
      <c r="C103" t="s">
        <v>85</v>
      </c>
      <c r="D103" t="s">
        <v>85</v>
      </c>
      <c r="E103" t="s">
        <v>85</v>
      </c>
      <c r="F103" t="s">
        <v>85</v>
      </c>
    </row>
    <row r="104" spans="1:7" x14ac:dyDescent="0.25">
      <c r="A104" s="69">
        <f t="shared" si="1"/>
        <v>0.35416666666666669</v>
      </c>
      <c r="B104" s="71">
        <v>510</v>
      </c>
      <c r="C104" t="s">
        <v>85</v>
      </c>
      <c r="D104" t="s">
        <v>85</v>
      </c>
      <c r="E104" t="s">
        <v>85</v>
      </c>
      <c r="F104" t="s">
        <v>85</v>
      </c>
      <c r="G104" t="s">
        <v>88</v>
      </c>
    </row>
    <row r="105" spans="1:7" x14ac:dyDescent="0.25">
      <c r="A105" s="69">
        <f t="shared" si="1"/>
        <v>0.3576388888888889</v>
      </c>
      <c r="B105" s="71">
        <v>515</v>
      </c>
      <c r="C105" t="s">
        <v>85</v>
      </c>
      <c r="D105" t="s">
        <v>85</v>
      </c>
      <c r="E105" t="s">
        <v>85</v>
      </c>
      <c r="F105" t="s">
        <v>85</v>
      </c>
      <c r="G105" t="s">
        <v>88</v>
      </c>
    </row>
    <row r="106" spans="1:7" x14ac:dyDescent="0.25">
      <c r="A106" s="69">
        <f t="shared" si="1"/>
        <v>0.3611111111111111</v>
      </c>
      <c r="B106" s="71">
        <v>520</v>
      </c>
      <c r="C106" t="s">
        <v>85</v>
      </c>
      <c r="D106" t="s">
        <v>85</v>
      </c>
      <c r="E106" t="s">
        <v>85</v>
      </c>
      <c r="F106" t="s">
        <v>85</v>
      </c>
      <c r="G106" t="s">
        <v>88</v>
      </c>
    </row>
    <row r="107" spans="1:7" x14ac:dyDescent="0.25">
      <c r="A107" s="69">
        <f t="shared" si="1"/>
        <v>0.36458333333333331</v>
      </c>
      <c r="B107" s="71">
        <v>525</v>
      </c>
      <c r="C107" t="s">
        <v>85</v>
      </c>
      <c r="D107" t="s">
        <v>85</v>
      </c>
      <c r="E107" t="s">
        <v>85</v>
      </c>
      <c r="F107" t="s">
        <v>85</v>
      </c>
      <c r="G107" t="s">
        <v>88</v>
      </c>
    </row>
    <row r="108" spans="1:7" x14ac:dyDescent="0.25">
      <c r="A108" s="69">
        <f t="shared" si="1"/>
        <v>0.36805555555555558</v>
      </c>
      <c r="B108" s="71">
        <v>530</v>
      </c>
      <c r="C108" t="s">
        <v>85</v>
      </c>
      <c r="D108" t="s">
        <v>85</v>
      </c>
      <c r="E108" t="s">
        <v>85</v>
      </c>
      <c r="F108" t="s">
        <v>85</v>
      </c>
      <c r="G108" t="s">
        <v>88</v>
      </c>
    </row>
    <row r="109" spans="1:7" x14ac:dyDescent="0.25">
      <c r="A109" s="69">
        <f t="shared" si="1"/>
        <v>0.37152777777777773</v>
      </c>
      <c r="B109" s="71">
        <v>535</v>
      </c>
      <c r="C109" t="s">
        <v>85</v>
      </c>
      <c r="D109" t="s">
        <v>85</v>
      </c>
      <c r="E109" t="s">
        <v>85</v>
      </c>
      <c r="F109" t="s">
        <v>85</v>
      </c>
      <c r="G109" t="s">
        <v>88</v>
      </c>
    </row>
    <row r="110" spans="1:7" x14ac:dyDescent="0.25">
      <c r="A110" s="69">
        <f t="shared" si="1"/>
        <v>0.375</v>
      </c>
      <c r="B110" s="71">
        <v>540</v>
      </c>
      <c r="C110" t="s">
        <v>87</v>
      </c>
      <c r="D110" t="s">
        <v>87</v>
      </c>
      <c r="E110" t="s">
        <v>87</v>
      </c>
      <c r="F110" t="s">
        <v>87</v>
      </c>
      <c r="G110" t="s">
        <v>87</v>
      </c>
    </row>
    <row r="111" spans="1:7" x14ac:dyDescent="0.25">
      <c r="A111" s="69">
        <f t="shared" si="1"/>
        <v>0.37847222222222227</v>
      </c>
      <c r="B111" s="71">
        <v>545</v>
      </c>
      <c r="C111" t="s">
        <v>87</v>
      </c>
      <c r="D111" t="s">
        <v>87</v>
      </c>
      <c r="E111" t="s">
        <v>87</v>
      </c>
      <c r="F111" t="s">
        <v>87</v>
      </c>
      <c r="G111" t="s">
        <v>87</v>
      </c>
    </row>
    <row r="112" spans="1:7" x14ac:dyDescent="0.25">
      <c r="A112" s="69">
        <f t="shared" si="1"/>
        <v>0.38194444444444442</v>
      </c>
      <c r="B112" s="71">
        <v>550</v>
      </c>
      <c r="C112" t="s">
        <v>87</v>
      </c>
      <c r="D112" t="s">
        <v>87</v>
      </c>
      <c r="E112" t="s">
        <v>87</v>
      </c>
      <c r="F112" t="s">
        <v>87</v>
      </c>
      <c r="G112" t="s">
        <v>87</v>
      </c>
    </row>
    <row r="113" spans="1:7" x14ac:dyDescent="0.25">
      <c r="A113" s="69">
        <f t="shared" si="1"/>
        <v>0.38541666666666669</v>
      </c>
      <c r="B113" s="71">
        <v>555</v>
      </c>
      <c r="C113" t="s">
        <v>87</v>
      </c>
      <c r="D113" t="s">
        <v>87</v>
      </c>
      <c r="E113" t="s">
        <v>87</v>
      </c>
      <c r="F113" t="s">
        <v>87</v>
      </c>
      <c r="G113" t="s">
        <v>87</v>
      </c>
    </row>
    <row r="114" spans="1:7" x14ac:dyDescent="0.25">
      <c r="A114" s="69">
        <f t="shared" si="1"/>
        <v>0.3888888888888889</v>
      </c>
      <c r="B114" s="71">
        <v>560</v>
      </c>
      <c r="C114" t="s">
        <v>87</v>
      </c>
      <c r="D114" t="s">
        <v>87</v>
      </c>
      <c r="E114" t="s">
        <v>87</v>
      </c>
      <c r="F114" t="s">
        <v>87</v>
      </c>
      <c r="G114" t="s">
        <v>87</v>
      </c>
    </row>
    <row r="115" spans="1:7" x14ac:dyDescent="0.25">
      <c r="A115" s="69">
        <f t="shared" si="1"/>
        <v>0.3923611111111111</v>
      </c>
      <c r="B115" s="71">
        <v>565</v>
      </c>
      <c r="C115" t="s">
        <v>87</v>
      </c>
      <c r="D115" t="s">
        <v>87</v>
      </c>
      <c r="E115" t="s">
        <v>87</v>
      </c>
      <c r="F115" t="s">
        <v>87</v>
      </c>
      <c r="G115" t="s">
        <v>87</v>
      </c>
    </row>
    <row r="116" spans="1:7" x14ac:dyDescent="0.25">
      <c r="A116" s="69">
        <f t="shared" si="1"/>
        <v>0.39583333333333331</v>
      </c>
      <c r="B116" s="71">
        <v>570</v>
      </c>
      <c r="C116" t="s">
        <v>87</v>
      </c>
      <c r="D116" t="s">
        <v>87</v>
      </c>
      <c r="E116" t="s">
        <v>87</v>
      </c>
      <c r="F116" t="s">
        <v>87</v>
      </c>
      <c r="G116" t="s">
        <v>87</v>
      </c>
    </row>
    <row r="117" spans="1:7" x14ac:dyDescent="0.25">
      <c r="A117" s="69">
        <f t="shared" si="1"/>
        <v>0.39930555555555558</v>
      </c>
      <c r="B117" s="71">
        <v>575</v>
      </c>
      <c r="C117" t="s">
        <v>87</v>
      </c>
      <c r="D117" t="s">
        <v>87</v>
      </c>
      <c r="E117" t="s">
        <v>87</v>
      </c>
      <c r="F117" t="s">
        <v>87</v>
      </c>
      <c r="G117" t="s">
        <v>87</v>
      </c>
    </row>
    <row r="118" spans="1:7" x14ac:dyDescent="0.25">
      <c r="A118" s="69">
        <f t="shared" si="1"/>
        <v>0.40277777777777773</v>
      </c>
      <c r="B118" s="71">
        <v>580</v>
      </c>
      <c r="C118" t="s">
        <v>87</v>
      </c>
      <c r="D118" t="s">
        <v>87</v>
      </c>
      <c r="E118" t="s">
        <v>87</v>
      </c>
      <c r="F118" t="s">
        <v>87</v>
      </c>
      <c r="G118" t="s">
        <v>87</v>
      </c>
    </row>
    <row r="119" spans="1:7" x14ac:dyDescent="0.25">
      <c r="A119" s="69">
        <f t="shared" si="1"/>
        <v>0.40625</v>
      </c>
      <c r="B119" s="71">
        <v>585</v>
      </c>
      <c r="C119" t="s">
        <v>87</v>
      </c>
      <c r="D119" t="s">
        <v>87</v>
      </c>
      <c r="E119" t="s">
        <v>87</v>
      </c>
      <c r="F119" t="s">
        <v>87</v>
      </c>
      <c r="G119" t="s">
        <v>87</v>
      </c>
    </row>
    <row r="120" spans="1:7" x14ac:dyDescent="0.25">
      <c r="A120" s="69">
        <f t="shared" si="1"/>
        <v>0.40972222222222227</v>
      </c>
      <c r="B120" s="71">
        <v>590</v>
      </c>
      <c r="C120" t="s">
        <v>87</v>
      </c>
      <c r="D120" t="s">
        <v>87</v>
      </c>
      <c r="E120" t="s">
        <v>87</v>
      </c>
      <c r="F120" t="s">
        <v>87</v>
      </c>
      <c r="G120" t="s">
        <v>87</v>
      </c>
    </row>
    <row r="121" spans="1:7" x14ac:dyDescent="0.25">
      <c r="A121" s="69">
        <f t="shared" si="1"/>
        <v>0.41319444444444442</v>
      </c>
      <c r="B121" s="71">
        <v>595</v>
      </c>
      <c r="C121" t="s">
        <v>87</v>
      </c>
      <c r="D121" t="s">
        <v>87</v>
      </c>
      <c r="E121" t="s">
        <v>87</v>
      </c>
      <c r="F121" t="s">
        <v>87</v>
      </c>
      <c r="G121" t="s">
        <v>87</v>
      </c>
    </row>
    <row r="122" spans="1:7" x14ac:dyDescent="0.25">
      <c r="A122" s="69">
        <f t="shared" si="1"/>
        <v>0.41666666666666669</v>
      </c>
      <c r="B122" s="71">
        <v>600</v>
      </c>
      <c r="C122" t="s">
        <v>87</v>
      </c>
      <c r="D122" t="s">
        <v>87</v>
      </c>
      <c r="E122" t="s">
        <v>87</v>
      </c>
      <c r="F122" t="s">
        <v>87</v>
      </c>
      <c r="G122" t="s">
        <v>102</v>
      </c>
    </row>
    <row r="123" spans="1:7" x14ac:dyDescent="0.25">
      <c r="A123" s="69">
        <f t="shared" si="1"/>
        <v>0.4201388888888889</v>
      </c>
      <c r="B123" s="71">
        <v>605</v>
      </c>
      <c r="C123" t="s">
        <v>87</v>
      </c>
      <c r="D123" t="s">
        <v>87</v>
      </c>
      <c r="E123" t="s">
        <v>87</v>
      </c>
      <c r="F123" t="s">
        <v>87</v>
      </c>
      <c r="G123" t="s">
        <v>102</v>
      </c>
    </row>
    <row r="124" spans="1:7" x14ac:dyDescent="0.25">
      <c r="A124" s="69">
        <f t="shared" si="1"/>
        <v>0.4236111111111111</v>
      </c>
      <c r="B124" s="71">
        <v>610</v>
      </c>
      <c r="C124" t="s">
        <v>87</v>
      </c>
      <c r="D124" t="s">
        <v>87</v>
      </c>
      <c r="E124" t="s">
        <v>87</v>
      </c>
      <c r="F124" t="s">
        <v>87</v>
      </c>
      <c r="G124" t="s">
        <v>102</v>
      </c>
    </row>
    <row r="125" spans="1:7" x14ac:dyDescent="0.25">
      <c r="A125" s="69">
        <f t="shared" si="1"/>
        <v>0.42708333333333331</v>
      </c>
      <c r="B125" s="71">
        <v>615</v>
      </c>
      <c r="C125" t="s">
        <v>87</v>
      </c>
      <c r="D125" t="s">
        <v>87</v>
      </c>
      <c r="E125" t="s">
        <v>87</v>
      </c>
      <c r="F125" t="s">
        <v>87</v>
      </c>
      <c r="G125" t="s">
        <v>102</v>
      </c>
    </row>
    <row r="126" spans="1:7" x14ac:dyDescent="0.25">
      <c r="A126" s="69">
        <f t="shared" si="1"/>
        <v>0.43055555555555558</v>
      </c>
      <c r="B126" s="71">
        <v>620</v>
      </c>
      <c r="C126" t="s">
        <v>87</v>
      </c>
      <c r="D126" t="s">
        <v>87</v>
      </c>
      <c r="E126" t="s">
        <v>87</v>
      </c>
      <c r="F126" t="s">
        <v>87</v>
      </c>
      <c r="G126" t="s">
        <v>85</v>
      </c>
    </row>
    <row r="127" spans="1:7" x14ac:dyDescent="0.25">
      <c r="A127" s="69">
        <f t="shared" si="1"/>
        <v>0.43402777777777773</v>
      </c>
      <c r="B127" s="71">
        <v>625</v>
      </c>
      <c r="C127" t="s">
        <v>87</v>
      </c>
      <c r="D127" t="s">
        <v>87</v>
      </c>
      <c r="E127" t="s">
        <v>87</v>
      </c>
      <c r="F127" t="s">
        <v>87</v>
      </c>
      <c r="G127" t="s">
        <v>85</v>
      </c>
    </row>
    <row r="128" spans="1:7" x14ac:dyDescent="0.25">
      <c r="A128" s="69">
        <f t="shared" si="1"/>
        <v>0.4375</v>
      </c>
      <c r="B128" s="71">
        <v>630</v>
      </c>
      <c r="C128" t="s">
        <v>88</v>
      </c>
      <c r="D128" t="s">
        <v>88</v>
      </c>
      <c r="E128" t="s">
        <v>88</v>
      </c>
      <c r="F128" t="s">
        <v>88</v>
      </c>
      <c r="G128" t="s">
        <v>85</v>
      </c>
    </row>
    <row r="129" spans="1:7" x14ac:dyDescent="0.25">
      <c r="A129" s="69">
        <f t="shared" si="1"/>
        <v>0.44097222222222227</v>
      </c>
      <c r="B129" s="71">
        <v>635</v>
      </c>
      <c r="C129" t="s">
        <v>88</v>
      </c>
      <c r="D129" t="s">
        <v>88</v>
      </c>
      <c r="E129" t="s">
        <v>88</v>
      </c>
      <c r="F129" t="s">
        <v>88</v>
      </c>
      <c r="G129" t="s">
        <v>85</v>
      </c>
    </row>
    <row r="130" spans="1:7" x14ac:dyDescent="0.25">
      <c r="A130" s="69">
        <f t="shared" si="1"/>
        <v>0.44444444444444442</v>
      </c>
      <c r="B130" s="71">
        <v>640</v>
      </c>
      <c r="C130" t="s">
        <v>88</v>
      </c>
      <c r="D130" t="s">
        <v>88</v>
      </c>
      <c r="E130" t="s">
        <v>88</v>
      </c>
      <c r="F130" t="s">
        <v>88</v>
      </c>
      <c r="G130" t="s">
        <v>86</v>
      </c>
    </row>
    <row r="131" spans="1:7" x14ac:dyDescent="0.25">
      <c r="A131" s="69">
        <f t="shared" ref="A131:A194" si="2">TIME(,B131,)</f>
        <v>0.44791666666666669</v>
      </c>
      <c r="B131" s="71">
        <v>645</v>
      </c>
      <c r="C131" t="s">
        <v>88</v>
      </c>
      <c r="D131" t="s">
        <v>88</v>
      </c>
      <c r="E131" t="s">
        <v>88</v>
      </c>
      <c r="F131" t="s">
        <v>88</v>
      </c>
      <c r="G131" t="s">
        <v>86</v>
      </c>
    </row>
    <row r="132" spans="1:7" x14ac:dyDescent="0.25">
      <c r="A132" s="69">
        <f t="shared" si="2"/>
        <v>0.4513888888888889</v>
      </c>
      <c r="B132" s="71">
        <v>650</v>
      </c>
      <c r="C132" t="s">
        <v>88</v>
      </c>
      <c r="D132" t="s">
        <v>88</v>
      </c>
      <c r="E132" t="s">
        <v>88</v>
      </c>
      <c r="F132" t="s">
        <v>88</v>
      </c>
      <c r="G132" t="s">
        <v>86</v>
      </c>
    </row>
    <row r="133" spans="1:7" x14ac:dyDescent="0.25">
      <c r="A133" s="69">
        <f t="shared" si="2"/>
        <v>0.4548611111111111</v>
      </c>
      <c r="B133" s="71">
        <v>655</v>
      </c>
      <c r="C133" t="s">
        <v>88</v>
      </c>
      <c r="D133" t="s">
        <v>88</v>
      </c>
      <c r="E133" t="s">
        <v>88</v>
      </c>
      <c r="F133" t="s">
        <v>88</v>
      </c>
      <c r="G133" t="s">
        <v>86</v>
      </c>
    </row>
    <row r="134" spans="1:7" x14ac:dyDescent="0.25">
      <c r="A134" s="69">
        <f t="shared" si="2"/>
        <v>0.45833333333333331</v>
      </c>
      <c r="B134" s="71">
        <v>660</v>
      </c>
    </row>
    <row r="135" spans="1:7" x14ac:dyDescent="0.25">
      <c r="A135" s="69">
        <f t="shared" si="2"/>
        <v>0.46180555555555558</v>
      </c>
      <c r="B135" s="71">
        <v>665</v>
      </c>
    </row>
    <row r="136" spans="1:7" x14ac:dyDescent="0.25">
      <c r="A136" s="69">
        <f t="shared" si="2"/>
        <v>0.46527777777777773</v>
      </c>
      <c r="B136" s="71">
        <v>670</v>
      </c>
    </row>
    <row r="137" spans="1:7" x14ac:dyDescent="0.25">
      <c r="A137" s="69">
        <f t="shared" si="2"/>
        <v>0.46875</v>
      </c>
      <c r="B137" s="71">
        <v>675</v>
      </c>
    </row>
    <row r="138" spans="1:7" x14ac:dyDescent="0.25">
      <c r="A138" s="69">
        <f t="shared" si="2"/>
        <v>0.47222222222222227</v>
      </c>
      <c r="B138" s="71">
        <v>680</v>
      </c>
    </row>
    <row r="139" spans="1:7" x14ac:dyDescent="0.25">
      <c r="A139" s="69">
        <f t="shared" si="2"/>
        <v>0.47569444444444442</v>
      </c>
      <c r="B139" s="71">
        <v>685</v>
      </c>
    </row>
    <row r="140" spans="1:7" x14ac:dyDescent="0.25">
      <c r="A140" s="69">
        <f t="shared" si="2"/>
        <v>0.47916666666666669</v>
      </c>
      <c r="B140" s="71">
        <v>690</v>
      </c>
    </row>
    <row r="141" spans="1:7" x14ac:dyDescent="0.25">
      <c r="A141" s="69">
        <f t="shared" si="2"/>
        <v>0.4826388888888889</v>
      </c>
      <c r="B141" s="71">
        <v>695</v>
      </c>
    </row>
    <row r="142" spans="1:7" x14ac:dyDescent="0.25">
      <c r="A142" s="69">
        <f t="shared" si="2"/>
        <v>0.4861111111111111</v>
      </c>
      <c r="B142" s="71">
        <v>700</v>
      </c>
    </row>
    <row r="143" spans="1:7" x14ac:dyDescent="0.25">
      <c r="A143" s="69">
        <f t="shared" si="2"/>
        <v>0.48958333333333331</v>
      </c>
      <c r="B143" s="71">
        <v>705</v>
      </c>
    </row>
    <row r="144" spans="1:7" x14ac:dyDescent="0.25">
      <c r="A144" s="69">
        <f t="shared" si="2"/>
        <v>0.49305555555555558</v>
      </c>
      <c r="B144" s="71">
        <v>710</v>
      </c>
    </row>
    <row r="145" spans="1:6" x14ac:dyDescent="0.25">
      <c r="A145" s="69">
        <f t="shared" si="2"/>
        <v>0.49652777777777773</v>
      </c>
      <c r="B145" s="71">
        <v>715</v>
      </c>
    </row>
    <row r="146" spans="1:6" x14ac:dyDescent="0.25">
      <c r="A146" s="69">
        <f t="shared" si="2"/>
        <v>0.5</v>
      </c>
      <c r="B146" s="71">
        <v>720</v>
      </c>
      <c r="C146" t="s">
        <v>86</v>
      </c>
      <c r="D146" t="s">
        <v>86</v>
      </c>
      <c r="E146" t="s">
        <v>86</v>
      </c>
      <c r="F146" t="s">
        <v>86</v>
      </c>
    </row>
    <row r="147" spans="1:6" x14ac:dyDescent="0.25">
      <c r="A147" s="69">
        <f t="shared" si="2"/>
        <v>0.50347222222222221</v>
      </c>
      <c r="B147" s="71">
        <v>725</v>
      </c>
      <c r="C147" t="s">
        <v>86</v>
      </c>
      <c r="D147" t="s">
        <v>86</v>
      </c>
      <c r="E147" t="s">
        <v>86</v>
      </c>
      <c r="F147" t="s">
        <v>86</v>
      </c>
    </row>
    <row r="148" spans="1:6" x14ac:dyDescent="0.25">
      <c r="A148" s="69">
        <f t="shared" si="2"/>
        <v>0.50694444444444442</v>
      </c>
      <c r="B148" s="71">
        <v>730</v>
      </c>
      <c r="C148" t="s">
        <v>86</v>
      </c>
      <c r="D148" t="s">
        <v>86</v>
      </c>
      <c r="E148" t="s">
        <v>86</v>
      </c>
      <c r="F148" t="s">
        <v>86</v>
      </c>
    </row>
    <row r="149" spans="1:6" x14ac:dyDescent="0.25">
      <c r="A149" s="69">
        <f t="shared" si="2"/>
        <v>0.51041666666666663</v>
      </c>
      <c r="B149" s="71">
        <v>735</v>
      </c>
      <c r="C149" t="s">
        <v>86</v>
      </c>
      <c r="D149" t="s">
        <v>86</v>
      </c>
      <c r="E149" t="s">
        <v>86</v>
      </c>
      <c r="F149" t="s">
        <v>86</v>
      </c>
    </row>
    <row r="150" spans="1:6" x14ac:dyDescent="0.25">
      <c r="A150" s="69">
        <f t="shared" si="2"/>
        <v>0.51388888888888895</v>
      </c>
      <c r="B150" s="71">
        <v>740</v>
      </c>
      <c r="C150" t="s">
        <v>86</v>
      </c>
      <c r="D150" t="s">
        <v>86</v>
      </c>
      <c r="E150" t="s">
        <v>86</v>
      </c>
      <c r="F150" t="s">
        <v>86</v>
      </c>
    </row>
    <row r="151" spans="1:6" x14ac:dyDescent="0.25">
      <c r="A151" s="69">
        <f t="shared" si="2"/>
        <v>0.51736111111111105</v>
      </c>
      <c r="B151" s="71">
        <v>745</v>
      </c>
      <c r="C151" t="s">
        <v>86</v>
      </c>
      <c r="D151" t="s">
        <v>86</v>
      </c>
      <c r="E151" t="s">
        <v>86</v>
      </c>
      <c r="F151" t="s">
        <v>86</v>
      </c>
    </row>
    <row r="152" spans="1:6" x14ac:dyDescent="0.25">
      <c r="A152" s="69">
        <f t="shared" si="2"/>
        <v>0.52083333333333337</v>
      </c>
      <c r="B152" s="71">
        <v>750</v>
      </c>
      <c r="C152" t="s">
        <v>86</v>
      </c>
      <c r="D152" t="s">
        <v>86</v>
      </c>
      <c r="E152" t="s">
        <v>86</v>
      </c>
      <c r="F152" t="s">
        <v>86</v>
      </c>
    </row>
    <row r="153" spans="1:6" x14ac:dyDescent="0.25">
      <c r="A153" s="69">
        <f t="shared" si="2"/>
        <v>0.52430555555555558</v>
      </c>
      <c r="B153" s="71">
        <v>755</v>
      </c>
      <c r="C153" t="s">
        <v>86</v>
      </c>
      <c r="D153" t="s">
        <v>86</v>
      </c>
      <c r="E153" t="s">
        <v>86</v>
      </c>
      <c r="F153" t="s">
        <v>86</v>
      </c>
    </row>
    <row r="154" spans="1:6" x14ac:dyDescent="0.25">
      <c r="A154" s="69">
        <f t="shared" si="2"/>
        <v>0.52777777777777779</v>
      </c>
      <c r="B154" s="71">
        <v>760</v>
      </c>
      <c r="C154" t="s">
        <v>86</v>
      </c>
      <c r="D154" t="s">
        <v>86</v>
      </c>
      <c r="E154" t="s">
        <v>86</v>
      </c>
      <c r="F154" t="s">
        <v>86</v>
      </c>
    </row>
    <row r="155" spans="1:6" x14ac:dyDescent="0.25">
      <c r="A155" s="69">
        <f t="shared" si="2"/>
        <v>0.53125</v>
      </c>
      <c r="B155" s="71">
        <v>765</v>
      </c>
      <c r="C155" t="s">
        <v>86</v>
      </c>
      <c r="D155" t="s">
        <v>86</v>
      </c>
      <c r="E155" t="s">
        <v>86</v>
      </c>
      <c r="F155" t="s">
        <v>86</v>
      </c>
    </row>
    <row r="156" spans="1:6" x14ac:dyDescent="0.25">
      <c r="A156" s="69">
        <f t="shared" si="2"/>
        <v>0.53472222222222221</v>
      </c>
      <c r="B156" s="71">
        <v>770</v>
      </c>
      <c r="C156" t="s">
        <v>86</v>
      </c>
      <c r="D156" t="s">
        <v>86</v>
      </c>
      <c r="E156" t="s">
        <v>86</v>
      </c>
      <c r="F156" t="s">
        <v>86</v>
      </c>
    </row>
    <row r="157" spans="1:6" x14ac:dyDescent="0.25">
      <c r="A157" s="69">
        <f t="shared" si="2"/>
        <v>0.53819444444444442</v>
      </c>
      <c r="B157" s="71">
        <v>775</v>
      </c>
      <c r="C157" t="s">
        <v>86</v>
      </c>
      <c r="D157" t="s">
        <v>86</v>
      </c>
      <c r="E157" t="s">
        <v>86</v>
      </c>
      <c r="F157" t="s">
        <v>86</v>
      </c>
    </row>
    <row r="158" spans="1:6" x14ac:dyDescent="0.25">
      <c r="A158" s="69">
        <f t="shared" si="2"/>
        <v>0.54166666666666663</v>
      </c>
      <c r="B158" s="71">
        <v>780</v>
      </c>
      <c r="C158" t="s">
        <v>88</v>
      </c>
      <c r="D158" t="s">
        <v>88</v>
      </c>
      <c r="E158" t="s">
        <v>88</v>
      </c>
      <c r="F158" t="s">
        <v>88</v>
      </c>
    </row>
    <row r="159" spans="1:6" x14ac:dyDescent="0.25">
      <c r="A159" s="69">
        <f t="shared" si="2"/>
        <v>0.54513888888888895</v>
      </c>
      <c r="B159" s="71">
        <v>785</v>
      </c>
      <c r="C159" t="s">
        <v>88</v>
      </c>
      <c r="D159" t="s">
        <v>88</v>
      </c>
      <c r="E159" t="s">
        <v>88</v>
      </c>
      <c r="F159" t="s">
        <v>88</v>
      </c>
    </row>
    <row r="160" spans="1:6" x14ac:dyDescent="0.25">
      <c r="A160" s="69">
        <f t="shared" si="2"/>
        <v>0.54861111111111105</v>
      </c>
      <c r="B160" s="71">
        <v>790</v>
      </c>
      <c r="C160" t="s">
        <v>88</v>
      </c>
      <c r="D160" t="s">
        <v>88</v>
      </c>
      <c r="E160" t="s">
        <v>88</v>
      </c>
      <c r="F160" t="s">
        <v>88</v>
      </c>
    </row>
    <row r="161" spans="1:6" x14ac:dyDescent="0.25">
      <c r="A161" s="69">
        <f t="shared" si="2"/>
        <v>0.55208333333333337</v>
      </c>
      <c r="B161" s="71">
        <v>795</v>
      </c>
      <c r="C161" t="s">
        <v>88</v>
      </c>
      <c r="D161" t="s">
        <v>88</v>
      </c>
      <c r="E161" t="s">
        <v>88</v>
      </c>
      <c r="F161" t="s">
        <v>88</v>
      </c>
    </row>
    <row r="162" spans="1:6" x14ac:dyDescent="0.25">
      <c r="A162" s="69">
        <f t="shared" si="2"/>
        <v>0.55555555555555558</v>
      </c>
      <c r="B162" s="71">
        <v>800</v>
      </c>
      <c r="C162" t="s">
        <v>88</v>
      </c>
      <c r="D162" t="s">
        <v>88</v>
      </c>
      <c r="E162" t="s">
        <v>88</v>
      </c>
      <c r="F162" t="s">
        <v>88</v>
      </c>
    </row>
    <row r="163" spans="1:6" x14ac:dyDescent="0.25">
      <c r="A163" s="69">
        <f t="shared" si="2"/>
        <v>0.55902777777777779</v>
      </c>
      <c r="B163" s="71">
        <v>805</v>
      </c>
      <c r="C163" t="s">
        <v>88</v>
      </c>
      <c r="D163" t="s">
        <v>88</v>
      </c>
      <c r="E163" t="s">
        <v>88</v>
      </c>
      <c r="F163" t="s">
        <v>88</v>
      </c>
    </row>
    <row r="164" spans="1:6" x14ac:dyDescent="0.25">
      <c r="A164" s="69">
        <f t="shared" si="2"/>
        <v>0.5625</v>
      </c>
      <c r="B164" s="71">
        <v>810</v>
      </c>
      <c r="C164" t="s">
        <v>84</v>
      </c>
      <c r="D164" t="s">
        <v>84</v>
      </c>
      <c r="E164" t="s">
        <v>84</v>
      </c>
      <c r="F164" t="s">
        <v>84</v>
      </c>
    </row>
    <row r="165" spans="1:6" x14ac:dyDescent="0.25">
      <c r="A165" s="69">
        <f t="shared" si="2"/>
        <v>0.56597222222222221</v>
      </c>
      <c r="B165" s="71">
        <v>815</v>
      </c>
      <c r="C165" t="s">
        <v>84</v>
      </c>
      <c r="D165" t="s">
        <v>84</v>
      </c>
      <c r="E165" t="s">
        <v>84</v>
      </c>
      <c r="F165" t="s">
        <v>84</v>
      </c>
    </row>
    <row r="166" spans="1:6" x14ac:dyDescent="0.25">
      <c r="A166" s="69">
        <f t="shared" si="2"/>
        <v>0.56944444444444442</v>
      </c>
      <c r="B166" s="71">
        <v>820</v>
      </c>
      <c r="C166" t="s">
        <v>84</v>
      </c>
      <c r="D166" t="s">
        <v>84</v>
      </c>
      <c r="E166" t="s">
        <v>84</v>
      </c>
      <c r="F166" t="s">
        <v>84</v>
      </c>
    </row>
    <row r="167" spans="1:6" x14ac:dyDescent="0.25">
      <c r="A167" s="69">
        <f t="shared" si="2"/>
        <v>0.57291666666666663</v>
      </c>
      <c r="B167" s="71">
        <v>825</v>
      </c>
      <c r="C167" t="s">
        <v>84</v>
      </c>
      <c r="D167" t="s">
        <v>84</v>
      </c>
      <c r="E167" t="s">
        <v>84</v>
      </c>
      <c r="F167" t="s">
        <v>84</v>
      </c>
    </row>
    <row r="168" spans="1:6" x14ac:dyDescent="0.25">
      <c r="A168" s="69">
        <f t="shared" si="2"/>
        <v>0.57638888888888895</v>
      </c>
      <c r="B168" s="71">
        <v>830</v>
      </c>
      <c r="C168" t="s">
        <v>84</v>
      </c>
      <c r="D168" t="s">
        <v>84</v>
      </c>
      <c r="E168" t="s">
        <v>84</v>
      </c>
      <c r="F168" t="s">
        <v>84</v>
      </c>
    </row>
    <row r="169" spans="1:6" x14ac:dyDescent="0.25">
      <c r="A169" s="69">
        <f t="shared" si="2"/>
        <v>0.57986111111111105</v>
      </c>
      <c r="B169" s="71">
        <v>835</v>
      </c>
      <c r="C169" t="s">
        <v>84</v>
      </c>
      <c r="D169" t="s">
        <v>84</v>
      </c>
      <c r="E169" t="s">
        <v>84</v>
      </c>
      <c r="F169" t="s">
        <v>84</v>
      </c>
    </row>
    <row r="170" spans="1:6" x14ac:dyDescent="0.25">
      <c r="A170" s="69">
        <f t="shared" si="2"/>
        <v>0.58333333333333337</v>
      </c>
      <c r="B170" s="71">
        <v>840</v>
      </c>
      <c r="C170" t="s">
        <v>84</v>
      </c>
      <c r="D170" t="s">
        <v>84</v>
      </c>
      <c r="E170" t="s">
        <v>84</v>
      </c>
      <c r="F170" t="s">
        <v>84</v>
      </c>
    </row>
    <row r="171" spans="1:6" x14ac:dyDescent="0.25">
      <c r="A171" s="69">
        <f t="shared" si="2"/>
        <v>0.58680555555555558</v>
      </c>
      <c r="B171" s="71">
        <v>845</v>
      </c>
      <c r="C171" t="s">
        <v>84</v>
      </c>
      <c r="D171" t="s">
        <v>84</v>
      </c>
      <c r="E171" t="s">
        <v>84</v>
      </c>
      <c r="F171" t="s">
        <v>84</v>
      </c>
    </row>
    <row r="172" spans="1:6" x14ac:dyDescent="0.25">
      <c r="A172" s="69">
        <f t="shared" si="2"/>
        <v>0.59027777777777779</v>
      </c>
      <c r="B172" s="71">
        <v>850</v>
      </c>
      <c r="C172" t="s">
        <v>84</v>
      </c>
      <c r="D172" t="s">
        <v>84</v>
      </c>
      <c r="E172" t="s">
        <v>84</v>
      </c>
      <c r="F172" t="s">
        <v>84</v>
      </c>
    </row>
    <row r="173" spans="1:6" x14ac:dyDescent="0.25">
      <c r="A173" s="69">
        <f t="shared" si="2"/>
        <v>0.59375</v>
      </c>
      <c r="B173" s="71">
        <v>855</v>
      </c>
      <c r="C173" t="s">
        <v>84</v>
      </c>
      <c r="D173" t="s">
        <v>84</v>
      </c>
      <c r="E173" t="s">
        <v>84</v>
      </c>
      <c r="F173" t="s">
        <v>84</v>
      </c>
    </row>
    <row r="174" spans="1:6" x14ac:dyDescent="0.25">
      <c r="A174" s="69">
        <f t="shared" si="2"/>
        <v>0.59722222222222221</v>
      </c>
      <c r="B174" s="71">
        <v>860</v>
      </c>
      <c r="C174" t="s">
        <v>84</v>
      </c>
      <c r="D174" t="s">
        <v>84</v>
      </c>
      <c r="E174" t="s">
        <v>84</v>
      </c>
      <c r="F174" t="s">
        <v>84</v>
      </c>
    </row>
    <row r="175" spans="1:6" x14ac:dyDescent="0.25">
      <c r="A175" s="69">
        <f t="shared" si="2"/>
        <v>0.60069444444444442</v>
      </c>
      <c r="B175" s="71">
        <v>865</v>
      </c>
      <c r="C175" t="s">
        <v>84</v>
      </c>
      <c r="D175" t="s">
        <v>84</v>
      </c>
      <c r="E175" t="s">
        <v>84</v>
      </c>
      <c r="F175" t="s">
        <v>84</v>
      </c>
    </row>
    <row r="176" spans="1:6" x14ac:dyDescent="0.25">
      <c r="A176" s="69">
        <f t="shared" si="2"/>
        <v>0.60416666666666663</v>
      </c>
      <c r="B176" s="71">
        <v>870</v>
      </c>
      <c r="C176" t="s">
        <v>84</v>
      </c>
      <c r="D176" t="s">
        <v>84</v>
      </c>
      <c r="E176" t="s">
        <v>84</v>
      </c>
      <c r="F176" t="s">
        <v>84</v>
      </c>
    </row>
    <row r="177" spans="1:6" x14ac:dyDescent="0.25">
      <c r="A177" s="69">
        <f t="shared" si="2"/>
        <v>0.60763888888888895</v>
      </c>
      <c r="B177" s="71">
        <v>875</v>
      </c>
      <c r="C177" t="s">
        <v>84</v>
      </c>
      <c r="D177" t="s">
        <v>84</v>
      </c>
      <c r="E177" t="s">
        <v>84</v>
      </c>
      <c r="F177" t="s">
        <v>84</v>
      </c>
    </row>
    <row r="178" spans="1:6" x14ac:dyDescent="0.25">
      <c r="A178" s="69">
        <f t="shared" si="2"/>
        <v>0.61111111111111105</v>
      </c>
      <c r="B178" s="71">
        <v>880</v>
      </c>
      <c r="C178" t="s">
        <v>84</v>
      </c>
      <c r="D178" t="s">
        <v>84</v>
      </c>
      <c r="E178" t="s">
        <v>84</v>
      </c>
      <c r="F178" t="s">
        <v>84</v>
      </c>
    </row>
    <row r="179" spans="1:6" x14ac:dyDescent="0.25">
      <c r="A179" s="69">
        <f t="shared" si="2"/>
        <v>0.61458333333333337</v>
      </c>
      <c r="B179" s="71">
        <v>885</v>
      </c>
      <c r="C179" t="s">
        <v>84</v>
      </c>
      <c r="D179" t="s">
        <v>84</v>
      </c>
      <c r="E179" t="s">
        <v>84</v>
      </c>
      <c r="F179" t="s">
        <v>84</v>
      </c>
    </row>
    <row r="180" spans="1:6" x14ac:dyDescent="0.25">
      <c r="A180" s="69">
        <f t="shared" si="2"/>
        <v>0.61805555555555558</v>
      </c>
      <c r="B180" s="71">
        <v>890</v>
      </c>
      <c r="C180" t="s">
        <v>84</v>
      </c>
      <c r="D180" t="s">
        <v>84</v>
      </c>
      <c r="E180" t="s">
        <v>84</v>
      </c>
      <c r="F180" t="s">
        <v>84</v>
      </c>
    </row>
    <row r="181" spans="1:6" x14ac:dyDescent="0.25">
      <c r="A181" s="69">
        <f t="shared" si="2"/>
        <v>0.62152777777777779</v>
      </c>
      <c r="B181" s="71">
        <v>895</v>
      </c>
      <c r="C181" t="s">
        <v>84</v>
      </c>
      <c r="D181" t="s">
        <v>84</v>
      </c>
      <c r="E181" t="s">
        <v>84</v>
      </c>
      <c r="F181" t="s">
        <v>84</v>
      </c>
    </row>
    <row r="182" spans="1:6" x14ac:dyDescent="0.25">
      <c r="A182" s="69">
        <f t="shared" si="2"/>
        <v>0.625</v>
      </c>
      <c r="B182" s="71">
        <v>900</v>
      </c>
      <c r="C182" t="s">
        <v>84</v>
      </c>
      <c r="D182" t="s">
        <v>84</v>
      </c>
      <c r="E182" t="s">
        <v>84</v>
      </c>
      <c r="F182" t="s">
        <v>84</v>
      </c>
    </row>
    <row r="183" spans="1:6" x14ac:dyDescent="0.25">
      <c r="A183" s="69">
        <f t="shared" si="2"/>
        <v>0.62847222222222221</v>
      </c>
      <c r="B183" s="71">
        <v>905</v>
      </c>
      <c r="C183" t="s">
        <v>84</v>
      </c>
      <c r="D183" t="s">
        <v>84</v>
      </c>
      <c r="E183" t="s">
        <v>84</v>
      </c>
      <c r="F183" t="s">
        <v>84</v>
      </c>
    </row>
    <row r="184" spans="1:6" x14ac:dyDescent="0.25">
      <c r="A184" s="69">
        <f t="shared" si="2"/>
        <v>0.63194444444444442</v>
      </c>
      <c r="B184" s="71">
        <v>910</v>
      </c>
      <c r="C184" t="s">
        <v>84</v>
      </c>
      <c r="D184" t="s">
        <v>84</v>
      </c>
      <c r="E184" t="s">
        <v>84</v>
      </c>
      <c r="F184" t="s">
        <v>84</v>
      </c>
    </row>
    <row r="185" spans="1:6" x14ac:dyDescent="0.25">
      <c r="A185" s="69">
        <f t="shared" si="2"/>
        <v>0.63541666666666663</v>
      </c>
      <c r="B185" s="71">
        <v>915</v>
      </c>
      <c r="C185" t="s">
        <v>84</v>
      </c>
      <c r="D185" t="s">
        <v>84</v>
      </c>
      <c r="E185" t="s">
        <v>84</v>
      </c>
      <c r="F185" t="s">
        <v>84</v>
      </c>
    </row>
    <row r="186" spans="1:6" x14ac:dyDescent="0.25">
      <c r="A186" s="69">
        <f t="shared" si="2"/>
        <v>0.63888888888888895</v>
      </c>
      <c r="B186" s="71">
        <v>920</v>
      </c>
      <c r="C186" t="s">
        <v>84</v>
      </c>
      <c r="D186" t="s">
        <v>84</v>
      </c>
      <c r="E186" t="s">
        <v>84</v>
      </c>
      <c r="F186" t="s">
        <v>84</v>
      </c>
    </row>
    <row r="187" spans="1:6" x14ac:dyDescent="0.25">
      <c r="A187" s="69">
        <f t="shared" si="2"/>
        <v>0.64236111111111105</v>
      </c>
      <c r="B187" s="71">
        <v>925</v>
      </c>
      <c r="C187" t="s">
        <v>84</v>
      </c>
      <c r="D187" t="s">
        <v>84</v>
      </c>
      <c r="E187" t="s">
        <v>84</v>
      </c>
      <c r="F187" t="s">
        <v>84</v>
      </c>
    </row>
    <row r="188" spans="1:6" x14ac:dyDescent="0.25">
      <c r="A188" s="69">
        <f t="shared" si="2"/>
        <v>0.64583333333333337</v>
      </c>
      <c r="B188" s="71">
        <v>930</v>
      </c>
      <c r="C188" t="s">
        <v>84</v>
      </c>
      <c r="D188" t="s">
        <v>84</v>
      </c>
      <c r="E188" t="s">
        <v>84</v>
      </c>
      <c r="F188" t="s">
        <v>84</v>
      </c>
    </row>
    <row r="189" spans="1:6" x14ac:dyDescent="0.25">
      <c r="A189" s="69">
        <f t="shared" si="2"/>
        <v>0.64930555555555558</v>
      </c>
      <c r="B189" s="71">
        <v>935</v>
      </c>
      <c r="C189" t="s">
        <v>84</v>
      </c>
      <c r="D189" t="s">
        <v>84</v>
      </c>
      <c r="E189" t="s">
        <v>84</v>
      </c>
      <c r="F189" t="s">
        <v>84</v>
      </c>
    </row>
    <row r="190" spans="1:6" x14ac:dyDescent="0.25">
      <c r="A190" s="69">
        <f t="shared" si="2"/>
        <v>0.65277777777777779</v>
      </c>
      <c r="B190" s="71">
        <v>940</v>
      </c>
      <c r="C190" t="s">
        <v>84</v>
      </c>
      <c r="D190" t="s">
        <v>84</v>
      </c>
      <c r="E190" t="s">
        <v>84</v>
      </c>
      <c r="F190" t="s">
        <v>84</v>
      </c>
    </row>
    <row r="191" spans="1:6" x14ac:dyDescent="0.25">
      <c r="A191" s="69">
        <f t="shared" si="2"/>
        <v>0.65625</v>
      </c>
      <c r="B191" s="71">
        <v>945</v>
      </c>
      <c r="C191" t="s">
        <v>84</v>
      </c>
      <c r="D191" t="s">
        <v>84</v>
      </c>
      <c r="E191" t="s">
        <v>84</v>
      </c>
      <c r="F191" t="s">
        <v>84</v>
      </c>
    </row>
    <row r="192" spans="1:6" x14ac:dyDescent="0.25">
      <c r="A192" s="69">
        <f t="shared" si="2"/>
        <v>0.65972222222222221</v>
      </c>
      <c r="B192" s="71">
        <v>950</v>
      </c>
      <c r="C192" t="s">
        <v>84</v>
      </c>
      <c r="D192" t="s">
        <v>84</v>
      </c>
      <c r="E192" t="s">
        <v>84</v>
      </c>
      <c r="F192" t="s">
        <v>84</v>
      </c>
    </row>
    <row r="193" spans="1:6" x14ac:dyDescent="0.25">
      <c r="A193" s="69">
        <f t="shared" si="2"/>
        <v>0.66319444444444442</v>
      </c>
      <c r="B193" s="71">
        <v>955</v>
      </c>
      <c r="C193" t="s">
        <v>84</v>
      </c>
      <c r="D193" t="s">
        <v>84</v>
      </c>
      <c r="E193" t="s">
        <v>84</v>
      </c>
      <c r="F193" t="s">
        <v>84</v>
      </c>
    </row>
    <row r="194" spans="1:6" x14ac:dyDescent="0.25">
      <c r="A194" s="69">
        <f t="shared" si="2"/>
        <v>0.66666666666666663</v>
      </c>
      <c r="B194" s="71">
        <v>960</v>
      </c>
    </row>
    <row r="195" spans="1:6" x14ac:dyDescent="0.25">
      <c r="A195" s="69">
        <f t="shared" ref="A195:A258" si="3">TIME(,B195,)</f>
        <v>0.67013888888888884</v>
      </c>
      <c r="B195" s="71">
        <v>965</v>
      </c>
    </row>
    <row r="196" spans="1:6" x14ac:dyDescent="0.25">
      <c r="A196" s="69">
        <f t="shared" si="3"/>
        <v>0.67361111111111116</v>
      </c>
      <c r="B196" s="71">
        <v>970</v>
      </c>
    </row>
    <row r="197" spans="1:6" x14ac:dyDescent="0.25">
      <c r="A197" s="69">
        <f t="shared" si="3"/>
        <v>0.67708333333333337</v>
      </c>
      <c r="B197" s="71">
        <v>975</v>
      </c>
    </row>
    <row r="198" spans="1:6" x14ac:dyDescent="0.25">
      <c r="A198" s="69">
        <f t="shared" si="3"/>
        <v>0.68055555555555547</v>
      </c>
      <c r="B198" s="71">
        <v>980</v>
      </c>
    </row>
    <row r="199" spans="1:6" x14ac:dyDescent="0.25">
      <c r="A199" s="69">
        <f t="shared" si="3"/>
        <v>0.68402777777777779</v>
      </c>
      <c r="B199" s="71">
        <v>985</v>
      </c>
    </row>
    <row r="200" spans="1:6" x14ac:dyDescent="0.25">
      <c r="A200" s="69">
        <f t="shared" si="3"/>
        <v>0.6875</v>
      </c>
      <c r="B200" s="71">
        <v>990</v>
      </c>
    </row>
    <row r="201" spans="1:6" x14ac:dyDescent="0.25">
      <c r="A201" s="69">
        <f t="shared" si="3"/>
        <v>0.69097222222222221</v>
      </c>
      <c r="B201" s="71">
        <v>995</v>
      </c>
    </row>
    <row r="202" spans="1:6" x14ac:dyDescent="0.25">
      <c r="A202" s="69">
        <f t="shared" si="3"/>
        <v>0.69444444444444453</v>
      </c>
      <c r="B202" s="71">
        <v>1000</v>
      </c>
    </row>
    <row r="203" spans="1:6" x14ac:dyDescent="0.25">
      <c r="A203" s="69">
        <f t="shared" si="3"/>
        <v>0.69791666666666663</v>
      </c>
      <c r="B203" s="71">
        <v>1005</v>
      </c>
    </row>
    <row r="204" spans="1:6" x14ac:dyDescent="0.25">
      <c r="A204" s="69">
        <f t="shared" si="3"/>
        <v>0.70138888888888884</v>
      </c>
      <c r="B204" s="71">
        <v>1010</v>
      </c>
    </row>
    <row r="205" spans="1:6" x14ac:dyDescent="0.25">
      <c r="A205" s="69">
        <f t="shared" si="3"/>
        <v>0.70486111111111116</v>
      </c>
      <c r="B205" s="71">
        <v>1015</v>
      </c>
    </row>
    <row r="206" spans="1:6" x14ac:dyDescent="0.25">
      <c r="A206" s="69">
        <f t="shared" si="3"/>
        <v>0.70833333333333337</v>
      </c>
      <c r="B206" s="71">
        <v>1020</v>
      </c>
    </row>
    <row r="207" spans="1:6" x14ac:dyDescent="0.25">
      <c r="A207" s="69">
        <f t="shared" si="3"/>
        <v>0.71180555555555547</v>
      </c>
      <c r="B207" s="71">
        <v>1025</v>
      </c>
    </row>
    <row r="208" spans="1:6" x14ac:dyDescent="0.25">
      <c r="A208" s="69">
        <f t="shared" si="3"/>
        <v>0.71527777777777779</v>
      </c>
      <c r="B208" s="71">
        <v>1030</v>
      </c>
    </row>
    <row r="209" spans="1:2" x14ac:dyDescent="0.25">
      <c r="A209" s="69">
        <f t="shared" si="3"/>
        <v>0.71875</v>
      </c>
      <c r="B209" s="71">
        <v>1035</v>
      </c>
    </row>
    <row r="210" spans="1:2" x14ac:dyDescent="0.25">
      <c r="A210" s="69">
        <f t="shared" si="3"/>
        <v>0.72222222222222221</v>
      </c>
      <c r="B210" s="71">
        <v>1040</v>
      </c>
    </row>
    <row r="211" spans="1:2" x14ac:dyDescent="0.25">
      <c r="A211" s="69">
        <f t="shared" si="3"/>
        <v>0.72569444444444453</v>
      </c>
      <c r="B211" s="71">
        <v>1045</v>
      </c>
    </row>
    <row r="212" spans="1:2" x14ac:dyDescent="0.25">
      <c r="A212" s="69">
        <f t="shared" si="3"/>
        <v>0.72916666666666663</v>
      </c>
      <c r="B212" s="71">
        <v>1050</v>
      </c>
    </row>
    <row r="213" spans="1:2" x14ac:dyDescent="0.25">
      <c r="A213" s="69">
        <f t="shared" si="3"/>
        <v>0.73263888888888884</v>
      </c>
      <c r="B213" s="71">
        <v>1055</v>
      </c>
    </row>
    <row r="214" spans="1:2" x14ac:dyDescent="0.25">
      <c r="A214" s="69">
        <f t="shared" si="3"/>
        <v>0.73611111111111116</v>
      </c>
      <c r="B214" s="71">
        <v>1060</v>
      </c>
    </row>
    <row r="215" spans="1:2" x14ac:dyDescent="0.25">
      <c r="A215" s="69">
        <f t="shared" si="3"/>
        <v>0.73958333333333337</v>
      </c>
      <c r="B215" s="71">
        <v>1065</v>
      </c>
    </row>
    <row r="216" spans="1:2" x14ac:dyDescent="0.25">
      <c r="A216" s="69">
        <f t="shared" si="3"/>
        <v>0.74305555555555547</v>
      </c>
      <c r="B216" s="71">
        <v>1070</v>
      </c>
    </row>
    <row r="217" spans="1:2" x14ac:dyDescent="0.25">
      <c r="A217" s="69">
        <f t="shared" si="3"/>
        <v>0.74652777777777779</v>
      </c>
      <c r="B217" s="71">
        <v>1075</v>
      </c>
    </row>
    <row r="218" spans="1:2" x14ac:dyDescent="0.25">
      <c r="A218" s="69">
        <f t="shared" si="3"/>
        <v>0.75</v>
      </c>
      <c r="B218" s="71">
        <v>1080</v>
      </c>
    </row>
    <row r="219" spans="1:2" x14ac:dyDescent="0.25">
      <c r="A219" s="69">
        <f t="shared" si="3"/>
        <v>0.75347222222222221</v>
      </c>
      <c r="B219" s="71">
        <v>1085</v>
      </c>
    </row>
    <row r="220" spans="1:2" x14ac:dyDescent="0.25">
      <c r="A220" s="69">
        <f t="shared" si="3"/>
        <v>0.75694444444444453</v>
      </c>
      <c r="B220" s="71">
        <v>1090</v>
      </c>
    </row>
    <row r="221" spans="1:2" x14ac:dyDescent="0.25">
      <c r="A221" s="69">
        <f t="shared" si="3"/>
        <v>0.76041666666666663</v>
      </c>
      <c r="B221" s="71">
        <v>1095</v>
      </c>
    </row>
    <row r="222" spans="1:2" x14ac:dyDescent="0.25">
      <c r="A222" s="69">
        <f t="shared" si="3"/>
        <v>0.76388888888888884</v>
      </c>
      <c r="B222" s="71">
        <v>1100</v>
      </c>
    </row>
    <row r="223" spans="1:2" x14ac:dyDescent="0.25">
      <c r="A223" s="69">
        <f t="shared" si="3"/>
        <v>0.76736111111111116</v>
      </c>
      <c r="B223" s="71">
        <v>1105</v>
      </c>
    </row>
    <row r="224" spans="1:2" x14ac:dyDescent="0.25">
      <c r="A224" s="69">
        <f t="shared" si="3"/>
        <v>0.77083333333333337</v>
      </c>
      <c r="B224" s="71">
        <v>1110</v>
      </c>
    </row>
    <row r="225" spans="1:2" x14ac:dyDescent="0.25">
      <c r="A225" s="69">
        <f t="shared" si="3"/>
        <v>0.77430555555555547</v>
      </c>
      <c r="B225" s="71">
        <v>1115</v>
      </c>
    </row>
    <row r="226" spans="1:2" x14ac:dyDescent="0.25">
      <c r="A226" s="69">
        <f t="shared" si="3"/>
        <v>0.77777777777777779</v>
      </c>
      <c r="B226" s="71">
        <v>1120</v>
      </c>
    </row>
    <row r="227" spans="1:2" x14ac:dyDescent="0.25">
      <c r="A227" s="69">
        <f t="shared" si="3"/>
        <v>0.78125</v>
      </c>
      <c r="B227" s="71">
        <v>1125</v>
      </c>
    </row>
    <row r="228" spans="1:2" x14ac:dyDescent="0.25">
      <c r="A228" s="69">
        <f t="shared" si="3"/>
        <v>0.78472222222222221</v>
      </c>
      <c r="B228" s="71">
        <v>1130</v>
      </c>
    </row>
    <row r="229" spans="1:2" x14ac:dyDescent="0.25">
      <c r="A229" s="69">
        <f t="shared" si="3"/>
        <v>0.78819444444444453</v>
      </c>
      <c r="B229" s="71">
        <v>1135</v>
      </c>
    </row>
    <row r="230" spans="1:2" x14ac:dyDescent="0.25">
      <c r="A230" s="69">
        <f t="shared" si="3"/>
        <v>0.79166666666666663</v>
      </c>
      <c r="B230" s="71">
        <v>1140</v>
      </c>
    </row>
    <row r="231" spans="1:2" x14ac:dyDescent="0.25">
      <c r="A231" s="69">
        <f t="shared" si="3"/>
        <v>0.79513888888888884</v>
      </c>
      <c r="B231" s="71">
        <v>1145</v>
      </c>
    </row>
    <row r="232" spans="1:2" x14ac:dyDescent="0.25">
      <c r="A232" s="69">
        <f t="shared" si="3"/>
        <v>0.79861111111111116</v>
      </c>
      <c r="B232" s="71">
        <v>1150</v>
      </c>
    </row>
    <row r="233" spans="1:2" x14ac:dyDescent="0.25">
      <c r="A233" s="69">
        <f t="shared" si="3"/>
        <v>0.80208333333333337</v>
      </c>
      <c r="B233" s="71">
        <v>1155</v>
      </c>
    </row>
    <row r="234" spans="1:2" x14ac:dyDescent="0.25">
      <c r="A234" s="69">
        <f t="shared" si="3"/>
        <v>0.80555555555555547</v>
      </c>
      <c r="B234" s="71">
        <v>1160</v>
      </c>
    </row>
    <row r="235" spans="1:2" x14ac:dyDescent="0.25">
      <c r="A235" s="69">
        <f t="shared" si="3"/>
        <v>0.80902777777777779</v>
      </c>
      <c r="B235" s="71">
        <v>1165</v>
      </c>
    </row>
    <row r="236" spans="1:2" x14ac:dyDescent="0.25">
      <c r="A236" s="69">
        <f t="shared" si="3"/>
        <v>0.8125</v>
      </c>
      <c r="B236" s="71">
        <v>1170</v>
      </c>
    </row>
    <row r="237" spans="1:2" x14ac:dyDescent="0.25">
      <c r="A237" s="69">
        <f t="shared" si="3"/>
        <v>0.81597222222222221</v>
      </c>
      <c r="B237" s="71">
        <v>1175</v>
      </c>
    </row>
    <row r="238" spans="1:2" x14ac:dyDescent="0.25">
      <c r="A238" s="69">
        <f t="shared" si="3"/>
        <v>0.81944444444444453</v>
      </c>
      <c r="B238" s="71">
        <v>1180</v>
      </c>
    </row>
    <row r="239" spans="1:2" x14ac:dyDescent="0.25">
      <c r="A239" s="69">
        <f t="shared" si="3"/>
        <v>0.82291666666666663</v>
      </c>
      <c r="B239" s="71">
        <v>1185</v>
      </c>
    </row>
    <row r="240" spans="1:2" x14ac:dyDescent="0.25">
      <c r="A240" s="69">
        <f t="shared" si="3"/>
        <v>0.82638888888888884</v>
      </c>
      <c r="B240" s="71">
        <v>1190</v>
      </c>
    </row>
    <row r="241" spans="1:2" x14ac:dyDescent="0.25">
      <c r="A241" s="69">
        <f t="shared" si="3"/>
        <v>0.82986111111111116</v>
      </c>
      <c r="B241" s="71">
        <v>1195</v>
      </c>
    </row>
    <row r="242" spans="1:2" x14ac:dyDescent="0.25">
      <c r="A242" s="69">
        <f t="shared" si="3"/>
        <v>0.83333333333333337</v>
      </c>
      <c r="B242" s="71">
        <v>1200</v>
      </c>
    </row>
    <row r="243" spans="1:2" x14ac:dyDescent="0.25">
      <c r="A243" s="69">
        <f t="shared" si="3"/>
        <v>0.83680555555555547</v>
      </c>
      <c r="B243" s="71">
        <v>1205</v>
      </c>
    </row>
    <row r="244" spans="1:2" x14ac:dyDescent="0.25">
      <c r="A244" s="69">
        <f t="shared" si="3"/>
        <v>0.84027777777777779</v>
      </c>
      <c r="B244" s="71">
        <v>1210</v>
      </c>
    </row>
    <row r="245" spans="1:2" x14ac:dyDescent="0.25">
      <c r="A245" s="69">
        <f t="shared" si="3"/>
        <v>0.84375</v>
      </c>
      <c r="B245" s="71">
        <v>1215</v>
      </c>
    </row>
    <row r="246" spans="1:2" x14ac:dyDescent="0.25">
      <c r="A246" s="69">
        <f t="shared" si="3"/>
        <v>0.84722222222222221</v>
      </c>
      <c r="B246" s="71">
        <v>1220</v>
      </c>
    </row>
    <row r="247" spans="1:2" x14ac:dyDescent="0.25">
      <c r="A247" s="69">
        <f t="shared" si="3"/>
        <v>0.85069444444444453</v>
      </c>
      <c r="B247" s="71">
        <v>1225</v>
      </c>
    </row>
    <row r="248" spans="1:2" x14ac:dyDescent="0.25">
      <c r="A248" s="69">
        <f t="shared" si="3"/>
        <v>0.85416666666666663</v>
      </c>
      <c r="B248" s="71">
        <v>1230</v>
      </c>
    </row>
    <row r="249" spans="1:2" x14ac:dyDescent="0.25">
      <c r="A249" s="69">
        <f t="shared" si="3"/>
        <v>0.85763888888888884</v>
      </c>
      <c r="B249" s="71">
        <v>1235</v>
      </c>
    </row>
    <row r="250" spans="1:2" x14ac:dyDescent="0.25">
      <c r="A250" s="69">
        <f t="shared" si="3"/>
        <v>0.86111111111111116</v>
      </c>
      <c r="B250" s="71">
        <v>1240</v>
      </c>
    </row>
    <row r="251" spans="1:2" x14ac:dyDescent="0.25">
      <c r="A251" s="69">
        <f t="shared" si="3"/>
        <v>0.86458333333333337</v>
      </c>
      <c r="B251" s="71">
        <v>1245</v>
      </c>
    </row>
    <row r="252" spans="1:2" x14ac:dyDescent="0.25">
      <c r="A252" s="69">
        <f t="shared" si="3"/>
        <v>0.86805555555555547</v>
      </c>
      <c r="B252" s="71">
        <v>1250</v>
      </c>
    </row>
    <row r="253" spans="1:2" x14ac:dyDescent="0.25">
      <c r="A253" s="69">
        <f t="shared" si="3"/>
        <v>0.87152777777777779</v>
      </c>
      <c r="B253" s="71">
        <v>1255</v>
      </c>
    </row>
    <row r="254" spans="1:2" x14ac:dyDescent="0.25">
      <c r="A254" s="69">
        <f t="shared" si="3"/>
        <v>0.875</v>
      </c>
      <c r="B254" s="71">
        <v>1260</v>
      </c>
    </row>
    <row r="255" spans="1:2" x14ac:dyDescent="0.25">
      <c r="A255" s="69">
        <f t="shared" si="3"/>
        <v>0.87847222222222221</v>
      </c>
      <c r="B255" s="71">
        <v>1265</v>
      </c>
    </row>
    <row r="256" spans="1:2" x14ac:dyDescent="0.25">
      <c r="A256" s="69">
        <f t="shared" si="3"/>
        <v>0.88194444444444453</v>
      </c>
      <c r="B256" s="71">
        <v>1270</v>
      </c>
    </row>
    <row r="257" spans="1:2" x14ac:dyDescent="0.25">
      <c r="A257" s="69">
        <f t="shared" si="3"/>
        <v>0.88541666666666663</v>
      </c>
      <c r="B257" s="71">
        <v>1275</v>
      </c>
    </row>
    <row r="258" spans="1:2" x14ac:dyDescent="0.25">
      <c r="A258" s="69">
        <f t="shared" si="3"/>
        <v>0.88888888888888884</v>
      </c>
      <c r="B258" s="71">
        <v>1280</v>
      </c>
    </row>
    <row r="259" spans="1:2" x14ac:dyDescent="0.25">
      <c r="A259" s="69">
        <f t="shared" ref="A259:A289" si="4">TIME(,B259,)</f>
        <v>0.89236111111111116</v>
      </c>
      <c r="B259" s="71">
        <v>1285</v>
      </c>
    </row>
    <row r="260" spans="1:2" x14ac:dyDescent="0.25">
      <c r="A260" s="69">
        <f t="shared" si="4"/>
        <v>0.89583333333333337</v>
      </c>
      <c r="B260" s="71">
        <v>1290</v>
      </c>
    </row>
    <row r="261" spans="1:2" x14ac:dyDescent="0.25">
      <c r="A261" s="69">
        <f t="shared" si="4"/>
        <v>0.89930555555555547</v>
      </c>
      <c r="B261" s="71">
        <v>1295</v>
      </c>
    </row>
    <row r="262" spans="1:2" x14ac:dyDescent="0.25">
      <c r="A262" s="69">
        <f t="shared" si="4"/>
        <v>0.90277777777777779</v>
      </c>
      <c r="B262" s="71">
        <v>1300</v>
      </c>
    </row>
    <row r="263" spans="1:2" x14ac:dyDescent="0.25">
      <c r="A263" s="69">
        <f t="shared" si="4"/>
        <v>0.90625</v>
      </c>
      <c r="B263" s="71">
        <v>1305</v>
      </c>
    </row>
    <row r="264" spans="1:2" x14ac:dyDescent="0.25">
      <c r="A264" s="69">
        <f t="shared" si="4"/>
        <v>0.90972222222222221</v>
      </c>
      <c r="B264" s="71">
        <v>1310</v>
      </c>
    </row>
    <row r="265" spans="1:2" x14ac:dyDescent="0.25">
      <c r="A265" s="69">
        <f t="shared" si="4"/>
        <v>0.91319444444444453</v>
      </c>
      <c r="B265" s="71">
        <v>1315</v>
      </c>
    </row>
    <row r="266" spans="1:2" x14ac:dyDescent="0.25">
      <c r="A266" s="69">
        <f t="shared" si="4"/>
        <v>0.91666666666666663</v>
      </c>
      <c r="B266" s="71">
        <v>1320</v>
      </c>
    </row>
    <row r="267" spans="1:2" x14ac:dyDescent="0.25">
      <c r="A267" s="69">
        <f t="shared" si="4"/>
        <v>0.92013888888888884</v>
      </c>
      <c r="B267" s="71">
        <v>1325</v>
      </c>
    </row>
    <row r="268" spans="1:2" x14ac:dyDescent="0.25">
      <c r="A268" s="69">
        <f t="shared" si="4"/>
        <v>0.92361111111111116</v>
      </c>
      <c r="B268" s="71">
        <v>1330</v>
      </c>
    </row>
    <row r="269" spans="1:2" x14ac:dyDescent="0.25">
      <c r="A269" s="69">
        <f t="shared" si="4"/>
        <v>0.92708333333333337</v>
      </c>
      <c r="B269" s="71">
        <v>1335</v>
      </c>
    </row>
    <row r="270" spans="1:2" x14ac:dyDescent="0.25">
      <c r="A270" s="69">
        <f t="shared" si="4"/>
        <v>0.93055555555555547</v>
      </c>
      <c r="B270" s="71">
        <v>1340</v>
      </c>
    </row>
    <row r="271" spans="1:2" x14ac:dyDescent="0.25">
      <c r="A271" s="69">
        <f t="shared" si="4"/>
        <v>0.93402777777777779</v>
      </c>
      <c r="B271" s="71">
        <v>1345</v>
      </c>
    </row>
    <row r="272" spans="1:2" x14ac:dyDescent="0.25">
      <c r="A272" s="69">
        <f t="shared" si="4"/>
        <v>0.9375</v>
      </c>
      <c r="B272" s="71">
        <v>1350</v>
      </c>
    </row>
    <row r="273" spans="1:2" x14ac:dyDescent="0.25">
      <c r="A273" s="69">
        <f t="shared" si="4"/>
        <v>0.94097222222222221</v>
      </c>
      <c r="B273" s="71">
        <v>1355</v>
      </c>
    </row>
    <row r="274" spans="1:2" x14ac:dyDescent="0.25">
      <c r="A274" s="69">
        <f t="shared" si="4"/>
        <v>0.94444444444444453</v>
      </c>
      <c r="B274" s="71">
        <v>1360</v>
      </c>
    </row>
    <row r="275" spans="1:2" x14ac:dyDescent="0.25">
      <c r="A275" s="69">
        <f t="shared" si="4"/>
        <v>0.94791666666666663</v>
      </c>
      <c r="B275" s="71">
        <v>1365</v>
      </c>
    </row>
    <row r="276" spans="1:2" x14ac:dyDescent="0.25">
      <c r="A276" s="69">
        <f t="shared" si="4"/>
        <v>0.95138888888888884</v>
      </c>
      <c r="B276" s="71">
        <v>1370</v>
      </c>
    </row>
    <row r="277" spans="1:2" x14ac:dyDescent="0.25">
      <c r="A277" s="69">
        <f t="shared" si="4"/>
        <v>0.95486111111111116</v>
      </c>
      <c r="B277" s="71">
        <v>1375</v>
      </c>
    </row>
    <row r="278" spans="1:2" x14ac:dyDescent="0.25">
      <c r="A278" s="69">
        <f t="shared" si="4"/>
        <v>0.95833333333333337</v>
      </c>
      <c r="B278" s="71">
        <v>1380</v>
      </c>
    </row>
    <row r="279" spans="1:2" x14ac:dyDescent="0.25">
      <c r="A279" s="69">
        <f t="shared" si="4"/>
        <v>0.96180555555555547</v>
      </c>
      <c r="B279" s="71">
        <v>1385</v>
      </c>
    </row>
    <row r="280" spans="1:2" x14ac:dyDescent="0.25">
      <c r="A280" s="69">
        <f t="shared" si="4"/>
        <v>0.96527777777777779</v>
      </c>
      <c r="B280" s="71">
        <v>1390</v>
      </c>
    </row>
    <row r="281" spans="1:2" x14ac:dyDescent="0.25">
      <c r="A281" s="69">
        <f t="shared" si="4"/>
        <v>0.96875</v>
      </c>
      <c r="B281" s="71">
        <v>1395</v>
      </c>
    </row>
    <row r="282" spans="1:2" x14ac:dyDescent="0.25">
      <c r="A282" s="69">
        <f t="shared" si="4"/>
        <v>0.97222222222222221</v>
      </c>
      <c r="B282" s="71">
        <v>1400</v>
      </c>
    </row>
    <row r="283" spans="1:2" x14ac:dyDescent="0.25">
      <c r="A283" s="69">
        <f t="shared" si="4"/>
        <v>0.97569444444444453</v>
      </c>
      <c r="B283" s="71">
        <v>1405</v>
      </c>
    </row>
    <row r="284" spans="1:2" x14ac:dyDescent="0.25">
      <c r="A284" s="69">
        <f t="shared" si="4"/>
        <v>0.97916666666666663</v>
      </c>
      <c r="B284" s="71">
        <v>1410</v>
      </c>
    </row>
    <row r="285" spans="1:2" x14ac:dyDescent="0.25">
      <c r="A285" s="69">
        <f t="shared" si="4"/>
        <v>0.98263888888888884</v>
      </c>
      <c r="B285" s="71">
        <v>1415</v>
      </c>
    </row>
    <row r="286" spans="1:2" x14ac:dyDescent="0.25">
      <c r="A286" s="69">
        <f t="shared" si="4"/>
        <v>0.98611111111111116</v>
      </c>
      <c r="B286" s="71">
        <v>1420</v>
      </c>
    </row>
    <row r="287" spans="1:2" x14ac:dyDescent="0.25">
      <c r="A287" s="69">
        <f t="shared" si="4"/>
        <v>0.98958333333333337</v>
      </c>
      <c r="B287" s="71">
        <v>1425</v>
      </c>
    </row>
    <row r="288" spans="1:2" x14ac:dyDescent="0.25">
      <c r="A288" s="69">
        <f t="shared" si="4"/>
        <v>0.99305555555555547</v>
      </c>
      <c r="B288" s="71">
        <v>1430</v>
      </c>
    </row>
    <row r="289" spans="1:2" x14ac:dyDescent="0.25">
      <c r="A289" s="69">
        <f t="shared" si="4"/>
        <v>0.99652777777777779</v>
      </c>
      <c r="B289" s="71">
        <v>1435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5B75F-7FBB-4B10-A6BF-0E0CCD5E23CD}">
  <sheetPr codeName="Sheet3"/>
  <dimension ref="A1:D15"/>
  <sheetViews>
    <sheetView topLeftCell="A8" workbookViewId="0">
      <selection activeCell="B2" sqref="B2:B14"/>
    </sheetView>
  </sheetViews>
  <sheetFormatPr defaultRowHeight="15" x14ac:dyDescent="0.25"/>
  <cols>
    <col min="1" max="1" width="26.42578125" bestFit="1" customWidth="1"/>
    <col min="2" max="2" width="21.7109375" bestFit="1" customWidth="1"/>
    <col min="3" max="3" width="45.140625" customWidth="1"/>
  </cols>
  <sheetData>
    <row r="1" spans="1:4" x14ac:dyDescent="0.25">
      <c r="A1" s="1" t="s">
        <v>0</v>
      </c>
      <c r="B1" s="1" t="s">
        <v>1</v>
      </c>
      <c r="C1" s="2" t="s">
        <v>2</v>
      </c>
      <c r="D1" t="s">
        <v>19</v>
      </c>
    </row>
    <row r="2" spans="1:4" ht="141.75" x14ac:dyDescent="0.25">
      <c r="A2" s="64" t="s">
        <v>3</v>
      </c>
      <c r="B2" s="63" t="b">
        <v>1</v>
      </c>
      <c r="C2" s="65" t="s">
        <v>195</v>
      </c>
      <c r="D2" t="s">
        <v>20</v>
      </c>
    </row>
    <row r="3" spans="1:4" ht="110.25" x14ac:dyDescent="0.25">
      <c r="A3" s="64" t="s">
        <v>4</v>
      </c>
      <c r="B3" s="63" t="b">
        <v>0</v>
      </c>
      <c r="C3" s="65" t="s">
        <v>196</v>
      </c>
      <c r="D3" t="s">
        <v>21</v>
      </c>
    </row>
    <row r="4" spans="1:4" ht="110.25" x14ac:dyDescent="0.25">
      <c r="A4" s="64" t="s">
        <v>5</v>
      </c>
      <c r="B4" s="63" t="b">
        <v>0</v>
      </c>
      <c r="C4" s="65" t="s">
        <v>192</v>
      </c>
      <c r="D4" t="s">
        <v>22</v>
      </c>
    </row>
    <row r="5" spans="1:4" ht="94.5" x14ac:dyDescent="0.25">
      <c r="A5" s="64" t="s">
        <v>6</v>
      </c>
      <c r="B5" s="63" t="b">
        <v>1</v>
      </c>
      <c r="C5" s="65" t="s">
        <v>189</v>
      </c>
      <c r="D5" t="s">
        <v>23</v>
      </c>
    </row>
    <row r="6" spans="1:4" ht="47.25" x14ac:dyDescent="0.25">
      <c r="A6" s="64" t="s">
        <v>7</v>
      </c>
      <c r="B6" s="63" t="b">
        <v>1</v>
      </c>
      <c r="C6" s="65" t="s">
        <v>191</v>
      </c>
      <c r="D6" t="s">
        <v>24</v>
      </c>
    </row>
    <row r="7" spans="1:4" ht="31.5" x14ac:dyDescent="0.25">
      <c r="A7" s="64" t="s">
        <v>8</v>
      </c>
      <c r="B7" s="63" t="s">
        <v>205</v>
      </c>
      <c r="C7" s="65" t="s">
        <v>190</v>
      </c>
      <c r="D7" t="s">
        <v>25</v>
      </c>
    </row>
    <row r="8" spans="1:4" ht="78.75" x14ac:dyDescent="0.25">
      <c r="A8" s="64" t="s">
        <v>9</v>
      </c>
      <c r="B8" s="63">
        <v>90</v>
      </c>
      <c r="C8" s="65" t="s">
        <v>10</v>
      </c>
      <c r="D8" t="s">
        <v>26</v>
      </c>
    </row>
    <row r="9" spans="1:4" ht="31.5" x14ac:dyDescent="0.25">
      <c r="A9" s="64" t="s">
        <v>11</v>
      </c>
      <c r="B9" s="66" t="s">
        <v>206</v>
      </c>
      <c r="C9" s="65" t="s">
        <v>12</v>
      </c>
      <c r="D9" t="s">
        <v>27</v>
      </c>
    </row>
    <row r="10" spans="1:4" ht="63" x14ac:dyDescent="0.25">
      <c r="A10" s="64" t="s">
        <v>13</v>
      </c>
      <c r="B10" s="66"/>
      <c r="C10" s="65" t="s">
        <v>188</v>
      </c>
      <c r="D10" t="s">
        <v>28</v>
      </c>
    </row>
    <row r="11" spans="1:4" ht="31.5" x14ac:dyDescent="0.25">
      <c r="A11" s="64" t="s">
        <v>14</v>
      </c>
      <c r="B11" s="66" t="s">
        <v>207</v>
      </c>
      <c r="C11" s="65" t="s">
        <v>186</v>
      </c>
      <c r="D11" t="s">
        <v>29</v>
      </c>
    </row>
    <row r="12" spans="1:4" ht="141.75" x14ac:dyDescent="0.25">
      <c r="A12" s="64" t="s">
        <v>15</v>
      </c>
      <c r="B12" s="66" t="s">
        <v>208</v>
      </c>
      <c r="C12" s="65" t="s">
        <v>187</v>
      </c>
      <c r="D12" t="s">
        <v>30</v>
      </c>
    </row>
    <row r="13" spans="1:4" ht="31.5" x14ac:dyDescent="0.25">
      <c r="A13" s="64" t="s">
        <v>16</v>
      </c>
      <c r="B13" s="63">
        <v>0.6</v>
      </c>
      <c r="C13" s="65" t="s">
        <v>17</v>
      </c>
      <c r="D13" t="s">
        <v>31</v>
      </c>
    </row>
    <row r="14" spans="1:4" ht="47.25" x14ac:dyDescent="0.25">
      <c r="A14" s="64" t="s">
        <v>18</v>
      </c>
      <c r="B14" s="63">
        <v>0</v>
      </c>
      <c r="C14" s="67" t="s">
        <v>194</v>
      </c>
      <c r="D14" t="s">
        <v>32</v>
      </c>
    </row>
    <row r="15" spans="1:4" ht="47.25" x14ac:dyDescent="0.25">
      <c r="A15" s="64" t="s">
        <v>145</v>
      </c>
      <c r="B15" s="63">
        <v>0.22</v>
      </c>
      <c r="C15" s="67" t="s">
        <v>193</v>
      </c>
      <c r="D15" t="s">
        <v>146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81794-9807-4967-8FD5-B7DE3EF30F4A}">
  <sheetPr codeName="Sheet11"/>
  <dimension ref="B3:D29"/>
  <sheetViews>
    <sheetView topLeftCell="A7" workbookViewId="0">
      <selection activeCell="H13" sqref="H13"/>
    </sheetView>
  </sheetViews>
  <sheetFormatPr defaultRowHeight="15" x14ac:dyDescent="0.25"/>
  <cols>
    <col min="2" max="2" width="16.28515625" bestFit="1" customWidth="1"/>
    <col min="4" max="4" width="172.140625" bestFit="1" customWidth="1"/>
  </cols>
  <sheetData>
    <row r="3" spans="2:4" x14ac:dyDescent="0.25">
      <c r="B3" s="44" t="s">
        <v>126</v>
      </c>
    </row>
    <row r="4" spans="2:4" x14ac:dyDescent="0.25">
      <c r="B4" s="50" t="s">
        <v>127</v>
      </c>
      <c r="C4" s="50" t="s">
        <v>128</v>
      </c>
      <c r="D4" s="50" t="s">
        <v>2</v>
      </c>
    </row>
    <row r="5" spans="2:4" ht="45" x14ac:dyDescent="0.25">
      <c r="B5" s="13" t="s">
        <v>129</v>
      </c>
      <c r="C5" s="13" t="s">
        <v>130</v>
      </c>
      <c r="D5" s="51" t="s">
        <v>138</v>
      </c>
    </row>
    <row r="6" spans="2:4" ht="45" x14ac:dyDescent="0.25">
      <c r="B6" s="13" t="s">
        <v>129</v>
      </c>
      <c r="C6" s="13" t="s">
        <v>131</v>
      </c>
      <c r="D6" s="51" t="s">
        <v>139</v>
      </c>
    </row>
    <row r="7" spans="2:4" ht="45" x14ac:dyDescent="0.25">
      <c r="B7" s="13" t="s">
        <v>129</v>
      </c>
      <c r="C7" s="13" t="s">
        <v>132</v>
      </c>
      <c r="D7" s="51" t="s">
        <v>140</v>
      </c>
    </row>
    <row r="8" spans="2:4" ht="45" x14ac:dyDescent="0.25">
      <c r="B8" s="13" t="s">
        <v>129</v>
      </c>
      <c r="C8" s="13" t="s">
        <v>133</v>
      </c>
      <c r="D8" s="51" t="s">
        <v>141</v>
      </c>
    </row>
    <row r="9" spans="2:4" ht="45" x14ac:dyDescent="0.25">
      <c r="B9" s="13" t="s">
        <v>129</v>
      </c>
      <c r="C9" s="13" t="s">
        <v>134</v>
      </c>
      <c r="D9" s="51" t="s">
        <v>142</v>
      </c>
    </row>
    <row r="10" spans="2:4" ht="45" x14ac:dyDescent="0.25">
      <c r="B10" s="13" t="s">
        <v>129</v>
      </c>
      <c r="C10" s="13" t="s">
        <v>135</v>
      </c>
      <c r="D10" s="51" t="s">
        <v>143</v>
      </c>
    </row>
    <row r="11" spans="2:4" ht="45" x14ac:dyDescent="0.25">
      <c r="B11" s="13" t="s">
        <v>129</v>
      </c>
      <c r="C11" s="13" t="s">
        <v>136</v>
      </c>
      <c r="D11" s="51" t="s">
        <v>197</v>
      </c>
    </row>
    <row r="12" spans="2:4" ht="45" x14ac:dyDescent="0.25">
      <c r="B12" s="13" t="s">
        <v>129</v>
      </c>
      <c r="C12" s="13" t="s">
        <v>137</v>
      </c>
      <c r="D12" s="51" t="s">
        <v>144</v>
      </c>
    </row>
    <row r="13" spans="2:4" ht="30" x14ac:dyDescent="0.25">
      <c r="B13" s="13" t="s">
        <v>147</v>
      </c>
      <c r="C13" s="13" t="s">
        <v>148</v>
      </c>
      <c r="D13" s="51" t="s">
        <v>151</v>
      </c>
    </row>
    <row r="14" spans="2:4" x14ac:dyDescent="0.25">
      <c r="B14" s="13" t="s">
        <v>147</v>
      </c>
      <c r="C14" s="13" t="s">
        <v>149</v>
      </c>
      <c r="D14" s="51" t="s">
        <v>152</v>
      </c>
    </row>
    <row r="15" spans="2:4" x14ac:dyDescent="0.25">
      <c r="B15" s="13" t="s">
        <v>147</v>
      </c>
      <c r="C15" s="13" t="s">
        <v>150</v>
      </c>
      <c r="D15" s="51" t="s">
        <v>153</v>
      </c>
    </row>
    <row r="16" spans="2:4" x14ac:dyDescent="0.25">
      <c r="B16" s="13" t="s">
        <v>154</v>
      </c>
      <c r="C16" s="13" t="s">
        <v>155</v>
      </c>
      <c r="D16" s="51" t="s">
        <v>161</v>
      </c>
    </row>
    <row r="17" spans="2:4" x14ac:dyDescent="0.25">
      <c r="B17" s="13" t="s">
        <v>154</v>
      </c>
      <c r="C17" s="13" t="s">
        <v>156</v>
      </c>
      <c r="D17" s="51" t="s">
        <v>163</v>
      </c>
    </row>
    <row r="18" spans="2:4" x14ac:dyDescent="0.25">
      <c r="B18" s="13" t="s">
        <v>154</v>
      </c>
      <c r="C18" s="13" t="s">
        <v>157</v>
      </c>
      <c r="D18" s="51" t="s">
        <v>162</v>
      </c>
    </row>
    <row r="19" spans="2:4" x14ac:dyDescent="0.25">
      <c r="B19" s="13" t="s">
        <v>154</v>
      </c>
      <c r="C19" s="13" t="s">
        <v>158</v>
      </c>
      <c r="D19" s="51" t="s">
        <v>164</v>
      </c>
    </row>
    <row r="20" spans="2:4" x14ac:dyDescent="0.25">
      <c r="B20" s="13" t="s">
        <v>154</v>
      </c>
      <c r="C20" s="13" t="s">
        <v>159</v>
      </c>
      <c r="D20" s="51" t="s">
        <v>165</v>
      </c>
    </row>
    <row r="21" spans="2:4" x14ac:dyDescent="0.25">
      <c r="B21" s="13" t="s">
        <v>154</v>
      </c>
      <c r="C21" s="13" t="s">
        <v>160</v>
      </c>
      <c r="D21" s="13" t="s">
        <v>166</v>
      </c>
    </row>
    <row r="22" spans="2:4" x14ac:dyDescent="0.25">
      <c r="B22" s="13" t="s">
        <v>154</v>
      </c>
      <c r="C22" s="13" t="s">
        <v>167</v>
      </c>
      <c r="D22" s="51" t="s">
        <v>168</v>
      </c>
    </row>
    <row r="23" spans="2:4" x14ac:dyDescent="0.25">
      <c r="B23" s="13" t="s">
        <v>169</v>
      </c>
      <c r="C23" s="13" t="s">
        <v>170</v>
      </c>
      <c r="D23" s="51" t="s">
        <v>171</v>
      </c>
    </row>
    <row r="24" spans="2:4" x14ac:dyDescent="0.25">
      <c r="B24" s="13" t="s">
        <v>172</v>
      </c>
      <c r="C24" s="13" t="s">
        <v>173</v>
      </c>
      <c r="D24" s="51" t="s">
        <v>178</v>
      </c>
    </row>
    <row r="25" spans="2:4" x14ac:dyDescent="0.25">
      <c r="B25" s="13" t="s">
        <v>172</v>
      </c>
      <c r="C25" s="13" t="s">
        <v>174</v>
      </c>
      <c r="D25" s="51" t="s">
        <v>180</v>
      </c>
    </row>
    <row r="26" spans="2:4" x14ac:dyDescent="0.25">
      <c r="B26" s="13" t="s">
        <v>172</v>
      </c>
      <c r="C26" s="13" t="s">
        <v>175</v>
      </c>
      <c r="D26" s="51" t="s">
        <v>181</v>
      </c>
    </row>
    <row r="27" spans="2:4" x14ac:dyDescent="0.25">
      <c r="B27" s="13" t="s">
        <v>172</v>
      </c>
      <c r="C27" s="13" t="s">
        <v>176</v>
      </c>
      <c r="D27" s="51" t="s">
        <v>182</v>
      </c>
    </row>
    <row r="28" spans="2:4" x14ac:dyDescent="0.25">
      <c r="B28" s="13" t="s">
        <v>172</v>
      </c>
      <c r="C28" s="13" t="s">
        <v>177</v>
      </c>
      <c r="D28" s="51" t="s">
        <v>183</v>
      </c>
    </row>
    <row r="29" spans="2:4" ht="45" x14ac:dyDescent="0.25">
      <c r="B29" s="56" t="s">
        <v>129</v>
      </c>
      <c r="C29" s="56" t="s">
        <v>184</v>
      </c>
      <c r="D29" s="58" t="s">
        <v>185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31</vt:i4>
      </vt:variant>
    </vt:vector>
  </HeadingPairs>
  <TitlesOfParts>
    <vt:vector size="44" baseType="lpstr">
      <vt:lpstr>Sheet2</vt:lpstr>
      <vt:lpstr>wCal</vt:lpstr>
      <vt:lpstr>Inicio</vt:lpstr>
      <vt:lpstr>wMaxFechas</vt:lpstr>
      <vt:lpstr>Capacidad</vt:lpstr>
      <vt:lpstr>horarioActual</vt:lpstr>
      <vt:lpstr>horarioCambio</vt:lpstr>
      <vt:lpstr>listas</vt:lpstr>
      <vt:lpstr>FechasMax</vt:lpstr>
      <vt:lpstr>ParametrosI</vt:lpstr>
      <vt:lpstr>PlantDoc</vt:lpstr>
      <vt:lpstr>wSettings</vt:lpstr>
      <vt:lpstr>Tooltips</vt:lpstr>
      <vt:lpstr>cal_Annio</vt:lpstr>
      <vt:lpstr>cal_mes</vt:lpstr>
      <vt:lpstr>calendario</vt:lpstr>
      <vt:lpstr>fCal</vt:lpstr>
      <vt:lpstr>horarioCambio!lst_HorasA</vt:lpstr>
      <vt:lpstr>lst_HorasA</vt:lpstr>
      <vt:lpstr>lst_settings</vt:lpstr>
      <vt:lpstr>lst_TipoCitas</vt:lpstr>
      <vt:lpstr>p_ArchHorariosAct</vt:lpstr>
      <vt:lpstr>p_ArchHorariosMod</vt:lpstr>
      <vt:lpstr>p_ArchMaxFechas</vt:lpstr>
      <vt:lpstr>p_ArchParamProceso</vt:lpstr>
      <vt:lpstr>horarioCambio!p_DoctorAnt</vt:lpstr>
      <vt:lpstr>p_DoctorAnt</vt:lpstr>
      <vt:lpstr>horarioCambio!p_Edicion</vt:lpstr>
      <vt:lpstr>p_Edicion</vt:lpstr>
      <vt:lpstr>p_FechaIniSim</vt:lpstr>
      <vt:lpstr>p_RutaAppR</vt:lpstr>
      <vt:lpstr>p_rutaExceles</vt:lpstr>
      <vt:lpstr>p_RutaProyR</vt:lpstr>
      <vt:lpstr>horarioCambio!sel_Doctor</vt:lpstr>
      <vt:lpstr>sel_Doctor</vt:lpstr>
      <vt:lpstr>horarioCambio!sel_HFin</vt:lpstr>
      <vt:lpstr>sel_HFin</vt:lpstr>
      <vt:lpstr>horarioCambio!sel_HIni</vt:lpstr>
      <vt:lpstr>sel_HIni</vt:lpstr>
      <vt:lpstr>tt_Capacidad</vt:lpstr>
      <vt:lpstr>tt_FMax</vt:lpstr>
      <vt:lpstr>tt_HorAct</vt:lpstr>
      <vt:lpstr>tt_HorCam</vt:lpstr>
      <vt:lpstr>ttHorCam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Rodolfo Alvarez</dc:creator>
  <cp:lastModifiedBy>Juan José Alvarez Pacheco</cp:lastModifiedBy>
  <dcterms:created xsi:type="dcterms:W3CDTF">2023-10-21T23:43:47Z</dcterms:created>
  <dcterms:modified xsi:type="dcterms:W3CDTF">2024-06-29T20:42:28Z</dcterms:modified>
</cp:coreProperties>
</file>